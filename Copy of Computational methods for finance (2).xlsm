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niz/Desktop/"/>
    </mc:Choice>
  </mc:AlternateContent>
  <xr:revisionPtr revIDLastSave="0" documentId="13_ncr:1_{E634D66C-E72A-5F47-8DC3-37FF5E0ADD2E}" xr6:coauthVersionLast="46" xr6:coauthVersionMax="47" xr10:uidLastSave="{00000000-0000-0000-0000-000000000000}"/>
  <bookViews>
    <workbookView xWindow="0" yWindow="0" windowWidth="28800" windowHeight="18000" xr2:uid="{38148577-CCFC-4AA1-8273-A3BDF40C0C3B}"/>
  </bookViews>
  <sheets>
    <sheet name="apple" sheetId="1" r:id="rId1"/>
    <sheet name="microsoft" sheetId="2" r:id="rId2"/>
    <sheet name="Meta" sheetId="3" r:id="rId3"/>
  </sheets>
  <functionGroups builtInGroupCount="19"/>
  <definedNames>
    <definedName name="solver_adj" localSheetId="0" hidden="1">apple!$AC$48:$AC$49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apple!$AC$48</definedName>
    <definedName name="solver_lhs2" localSheetId="0" hidden="1">apple!$AC$48</definedName>
    <definedName name="solver_lhs3" localSheetId="0" hidden="1">apple!$AC$49</definedName>
    <definedName name="solver_lhs4" localSheetId="0" hidden="1">apple!$AC$49</definedName>
    <definedName name="solver_lhs5" localSheetId="0" hidden="1">apple!$Z$58</definedName>
    <definedName name="solver_lhs6" localSheetId="0" hidden="1">apple!$U$42</definedName>
    <definedName name="solver_lhs7" localSheetId="0" hidden="1">apple!$V$42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apple!$AA$53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2</definedName>
    <definedName name="solver_rhs1" localSheetId="0" hidden="1">1</definedName>
    <definedName name="solver_rhs2" localSheetId="0" hidden="1">0</definedName>
    <definedName name="solver_rhs3" localSheetId="0" hidden="1">1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51" i="1" l="1"/>
  <c r="AA46" i="1"/>
  <c r="AA45" i="1"/>
  <c r="S16" i="1"/>
  <c r="F14" i="1"/>
  <c r="AJ35" i="1"/>
  <c r="AB58" i="1"/>
  <c r="L12" i="1"/>
  <c r="S12" i="1"/>
  <c r="V42" i="1" l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T34" i="1" l="1"/>
  <c r="S13" i="1"/>
  <c r="S14" i="1" s="1"/>
  <c r="T35" i="1"/>
  <c r="U34" i="1"/>
  <c r="U35" i="1"/>
  <c r="AB40" i="1" s="1"/>
  <c r="L13" i="1"/>
  <c r="L14" i="1" s="1"/>
  <c r="L10" i="1"/>
  <c r="S10" i="1"/>
  <c r="F11" i="2"/>
  <c r="F12" i="2" s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3" i="3"/>
  <c r="F10" i="3" s="1"/>
  <c r="F11" i="3" s="1"/>
  <c r="C5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3" i="2"/>
  <c r="C9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4" i="1"/>
  <c r="F12" i="3" a="1"/>
  <c r="F13" i="2" a="1"/>
  <c r="F10" i="1" a="1"/>
  <c r="L11" i="1"/>
  <c r="S11" i="1"/>
  <c r="AC35" i="1" l="1"/>
  <c r="T33" i="1"/>
  <c r="F11" i="1"/>
  <c r="F8" i="1"/>
  <c r="AE34" i="1"/>
  <c r="AA39" i="1"/>
  <c r="S34" i="1"/>
  <c r="S35" i="1"/>
  <c r="U33" i="1"/>
  <c r="S33" i="1"/>
  <c r="R45" i="1" s="1"/>
  <c r="R49" i="1" s="1"/>
  <c r="S49" i="1" s="1"/>
  <c r="F12" i="3"/>
  <c r="F13" i="2"/>
  <c r="F10" i="1"/>
  <c r="F14" i="2"/>
  <c r="F15" i="2" s="1"/>
  <c r="F13" i="3"/>
  <c r="F14" i="3" s="1"/>
  <c r="F9" i="1"/>
  <c r="AC34" i="1" l="1"/>
  <c r="AA61" i="1"/>
  <c r="AA63" i="1" s="1"/>
  <c r="R47" i="1"/>
  <c r="S47" i="1" s="1"/>
  <c r="AB39" i="1"/>
  <c r="AA60" i="1" s="1"/>
  <c r="AA62" i="1" s="1"/>
  <c r="AA64" i="1" s="1"/>
  <c r="AA40" i="1"/>
  <c r="F12" i="1"/>
  <c r="AA42" i="1" l="1" a="1"/>
  <c r="AA52" i="1"/>
  <c r="AJ36" i="1" l="1"/>
  <c r="AA53" i="1"/>
  <c r="AA42" i="1"/>
  <c r="AA43" i="1"/>
  <c r="AB42" i="1"/>
  <c r="AB43" i="1"/>
  <c r="AA49" i="1" l="1"/>
  <c r="AA48" i="1"/>
  <c r="AB48" i="1" s="1"/>
  <c r="AJ41" i="1"/>
  <c r="AK41" i="1"/>
  <c r="AO36" i="1" l="1"/>
  <c r="AJ43" i="1"/>
  <c r="AJ42" i="1"/>
  <c r="AO37" i="1"/>
  <c r="AO38" i="1"/>
  <c r="AO43" i="1"/>
  <c r="AK42" i="1"/>
  <c r="AK43" i="1"/>
  <c r="AO42" i="1"/>
  <c r="AO41" i="1"/>
  <c r="AB49" i="1"/>
  <c r="AO44" i="1" l="1"/>
  <c r="AO39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<sst xmlns="http://schemas.openxmlformats.org/spreadsheetml/2006/main" count="120" uniqueCount="74">
  <si>
    <t>Date</t>
  </si>
  <si>
    <t>Last Price</t>
  </si>
  <si>
    <t>Log return</t>
  </si>
  <si>
    <t>Log Return</t>
  </si>
  <si>
    <t>CAGR</t>
  </si>
  <si>
    <t>Volatility</t>
  </si>
  <si>
    <t>Annualized Volatility</t>
  </si>
  <si>
    <t>APPLE</t>
  </si>
  <si>
    <t>Microsoft</t>
  </si>
  <si>
    <t>Average Daily Return</t>
  </si>
  <si>
    <t>Annualized return</t>
  </si>
  <si>
    <t>Annualized Return</t>
  </si>
  <si>
    <t>MICROSOFT</t>
  </si>
  <si>
    <t>META</t>
  </si>
  <si>
    <t xml:space="preserve"> </t>
  </si>
  <si>
    <t>covariance</t>
  </si>
  <si>
    <t>apple</t>
  </si>
  <si>
    <t>APPL</t>
  </si>
  <si>
    <t>weight apple</t>
  </si>
  <si>
    <t>weight META</t>
  </si>
  <si>
    <t>SUM</t>
  </si>
  <si>
    <t>VARIANCE</t>
  </si>
  <si>
    <t>expected return</t>
  </si>
  <si>
    <t>volatility for potfolio</t>
  </si>
  <si>
    <t>Yearly return</t>
  </si>
  <si>
    <t>Daily Treasury Par Yield Curve CMT Rates for 6 months</t>
  </si>
  <si>
    <t>risk free rate:</t>
  </si>
  <si>
    <t>sharpe rartio</t>
  </si>
  <si>
    <t>sharpe ratio</t>
  </si>
  <si>
    <t>Question 3:</t>
  </si>
  <si>
    <t>Question 4:</t>
  </si>
  <si>
    <t>Question 5:</t>
  </si>
  <si>
    <t>Question 6:</t>
  </si>
  <si>
    <t>Apple's Stock</t>
  </si>
  <si>
    <t>Meta's Stock</t>
  </si>
  <si>
    <t>Expected Return</t>
  </si>
  <si>
    <t>Assets</t>
  </si>
  <si>
    <t>Standard Deviation</t>
  </si>
  <si>
    <t>Correlation</t>
  </si>
  <si>
    <t>Apple</t>
  </si>
  <si>
    <t>Meta</t>
  </si>
  <si>
    <t>inverse matrix</t>
  </si>
  <si>
    <t>Weight microsoft</t>
  </si>
  <si>
    <t>excess return *Inverse Matrix</t>
  </si>
  <si>
    <t>Excess Returns matrix</t>
  </si>
  <si>
    <t>ORP Expected Return</t>
  </si>
  <si>
    <t>ORP Expected Volatility</t>
  </si>
  <si>
    <t>sharp ratio</t>
  </si>
  <si>
    <t>W1</t>
  </si>
  <si>
    <t>W2</t>
  </si>
  <si>
    <t>Expected return</t>
  </si>
  <si>
    <t>volatility portfolio</t>
  </si>
  <si>
    <t>annualized expcted return</t>
  </si>
  <si>
    <t>annualized volatility portfolio</t>
  </si>
  <si>
    <t>Question7:</t>
  </si>
  <si>
    <t>risk-free rate</t>
  </si>
  <si>
    <t>Expected Return ORP</t>
  </si>
  <si>
    <t>standard deviation of orp</t>
  </si>
  <si>
    <t>Investor's risk aversion</t>
  </si>
  <si>
    <t>Expected Return OCP</t>
  </si>
  <si>
    <t>Standard Deviation OCP</t>
  </si>
  <si>
    <t>Stock A</t>
  </si>
  <si>
    <t>sum</t>
  </si>
  <si>
    <t>Asset risk-free( risk aversion 4)</t>
  </si>
  <si>
    <t>risk-aversion (4)</t>
  </si>
  <si>
    <t>risk-aversion(10)</t>
  </si>
  <si>
    <t>compute OCP</t>
  </si>
  <si>
    <t>Asset risk-free(risk aversion 10)</t>
  </si>
  <si>
    <t>Sum</t>
  </si>
  <si>
    <t>yearly volatility</t>
  </si>
  <si>
    <t>Question 6:(Another Way: Using Solver)</t>
  </si>
  <si>
    <t>As 0&lt;=Weight&lt;=100</t>
  </si>
  <si>
    <t>Stock M</t>
  </si>
  <si>
    <t>Question 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</si>
</sst>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%"/>
    <numFmt numFmtId="165" formatCode="0.00000000000"/>
    <numFmt numFmtId="166" formatCode="0.00000000"/>
    <numFmt numFmtId="167" formatCode="0.0000%"/>
    <numFmt numFmtId="168" formatCode="0.00000%"/>
    <numFmt numFmtId="169" formatCode="0.000"/>
    <numFmt numFmtId="170" formatCode="0.00000"/>
    <numFmt numFmtId="171" formatCode="0.000000000000000000%"/>
  </numFmts>
  <fonts count="1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 (Body)"/>
    </font>
    <font>
      <sz val="18"/>
      <color rgb="FF393B3E"/>
      <name val="Calibri"/>
      <family val="2"/>
    </font>
    <font>
      <sz val="14"/>
      <color theme="1"/>
      <name val="Aptos Narrow"/>
      <family val="2"/>
      <scheme val="minor"/>
    </font>
    <font>
      <sz val="12"/>
      <color rgb="FF393B3E"/>
      <name val="Calibri"/>
      <family val="2"/>
    </font>
    <font>
      <sz val="14"/>
      <color theme="1"/>
      <name val="Aptos Narrow (Body)"/>
    </font>
    <font>
      <sz val="16"/>
      <color theme="1"/>
      <name val="Aptos Narrow (Body)"/>
    </font>
    <font>
      <sz val="1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2" borderId="0" xfId="0" applyFill="1"/>
    <xf numFmtId="10" fontId="0" fillId="2" borderId="0" xfId="0" applyNumberFormat="1" applyFill="1"/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4" fillId="0" borderId="0" xfId="0" applyFont="1"/>
    <xf numFmtId="166" fontId="0" fillId="0" borderId="0" xfId="0" applyNumberFormat="1"/>
    <xf numFmtId="9" fontId="0" fillId="0" borderId="0" xfId="0" applyNumberFormat="1"/>
    <xf numFmtId="167" fontId="0" fillId="0" borderId="0" xfId="0" applyNumberFormat="1"/>
    <xf numFmtId="0" fontId="0" fillId="0" borderId="0" xfId="0" applyAlignment="1">
      <alignment horizontal="center"/>
    </xf>
    <xf numFmtId="167" fontId="0" fillId="2" borderId="0" xfId="0" applyNumberFormat="1" applyFill="1"/>
    <xf numFmtId="168" fontId="0" fillId="2" borderId="0" xfId="0" applyNumberFormat="1" applyFill="1"/>
    <xf numFmtId="0" fontId="0" fillId="0" borderId="1" xfId="0" applyBorder="1"/>
    <xf numFmtId="166" fontId="0" fillId="0" borderId="1" xfId="0" applyNumberFormat="1" applyBorder="1"/>
    <xf numFmtId="167" fontId="0" fillId="0" borderId="1" xfId="0" applyNumberFormat="1" applyBorder="1"/>
    <xf numFmtId="9" fontId="0" fillId="0" borderId="1" xfId="0" applyNumberFormat="1" applyBorder="1"/>
    <xf numFmtId="0" fontId="0" fillId="2" borderId="1" xfId="0" applyFill="1" applyBorder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2" fontId="0" fillId="0" borderId="0" xfId="0" applyNumberFormat="1"/>
    <xf numFmtId="0" fontId="1" fillId="0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0" fillId="2" borderId="0" xfId="0" applyFont="1" applyFill="1"/>
    <xf numFmtId="0" fontId="0" fillId="0" borderId="0" xfId="0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0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0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6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393050</xdr:colOff>
      <xdr:row>44</xdr:row>
      <xdr:rowOff>44175</xdr:rowOff>
    </xdr:from>
    <xdr:ext cx="388120" cy="5035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789D9B-2C16-E246-8F6D-25601B1CBF8E}"/>
            </a:ext>
          </a:extLst>
        </xdr:cNvPr>
        <xdr:cNvSpPr txBox="1"/>
      </xdr:nvSpPr>
      <xdr:spPr>
        <a:xfrm>
          <a:off x="35875746" y="8481392"/>
          <a:ext cx="388120" cy="503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endParaRPr lang="en-GB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9E15F-0D6B-4060-9334-A247CD65A637}">
  <sheetPr codeName="Sheet1"/>
  <dimension ref="A1:AO129"/>
  <sheetViews>
    <sheetView tabSelected="1" zoomScale="56" zoomScaleNormal="110" workbookViewId="0">
      <selection activeCell="R18" sqref="R18"/>
    </sheetView>
  </sheetViews>
  <sheetFormatPr baseColWidth="10" defaultColWidth="8.83203125" defaultRowHeight="15"/>
  <cols>
    <col min="1" max="1" width="16.1640625" customWidth="1"/>
    <col min="3" max="3" width="14" customWidth="1"/>
    <col min="4" max="4" width="31.1640625" customWidth="1"/>
    <col min="5" max="5" width="23.6640625" customWidth="1"/>
    <col min="6" max="6" width="14" customWidth="1"/>
    <col min="7" max="7" width="28" customWidth="1"/>
    <col min="8" max="8" width="29.1640625" customWidth="1"/>
    <col min="11" max="11" width="19" customWidth="1"/>
    <col min="12" max="12" width="12.6640625" customWidth="1"/>
    <col min="13" max="13" width="22.5" customWidth="1"/>
    <col min="14" max="14" width="18.1640625" customWidth="1"/>
    <col min="17" max="17" width="16.33203125" customWidth="1"/>
    <col min="18" max="18" width="32.5" customWidth="1"/>
    <col min="19" max="19" width="17.1640625" customWidth="1"/>
    <col min="20" max="21" width="14.5" customWidth="1"/>
    <col min="26" max="26" width="27.6640625" customWidth="1"/>
    <col min="27" max="27" width="31" customWidth="1"/>
    <col min="28" max="28" width="31.5" customWidth="1"/>
    <col min="29" max="29" width="16.5" customWidth="1"/>
    <col min="31" max="31" width="11.83203125" customWidth="1"/>
    <col min="35" max="35" width="15" customWidth="1"/>
    <col min="36" max="36" width="27.5" customWidth="1"/>
    <col min="37" max="37" width="29.6640625" customWidth="1"/>
    <col min="40" max="40" width="13.1640625" customWidth="1"/>
  </cols>
  <sheetData>
    <row r="1" spans="1:19">
      <c r="A1" s="44" t="s">
        <v>7</v>
      </c>
      <c r="B1" s="44"/>
      <c r="C1" s="44"/>
      <c r="G1" s="44" t="s">
        <v>12</v>
      </c>
      <c r="H1" s="44"/>
      <c r="I1" s="44"/>
      <c r="N1" s="44" t="s">
        <v>13</v>
      </c>
      <c r="O1" s="44"/>
      <c r="P1" s="44"/>
    </row>
    <row r="2" spans="1:19">
      <c r="A2" t="s">
        <v>0</v>
      </c>
      <c r="B2" t="s">
        <v>1</v>
      </c>
      <c r="C2" t="s">
        <v>2</v>
      </c>
      <c r="G2" t="s">
        <v>0</v>
      </c>
      <c r="H2" t="s">
        <v>1</v>
      </c>
      <c r="I2" t="s">
        <v>3</v>
      </c>
      <c r="N2" t="s">
        <v>0</v>
      </c>
      <c r="O2" t="s">
        <v>1</v>
      </c>
      <c r="P2" t="s">
        <v>2</v>
      </c>
    </row>
    <row r="3" spans="1:19">
      <c r="A3" s="1">
        <v>45523</v>
      </c>
      <c r="B3">
        <v>225.89</v>
      </c>
      <c r="G3" s="1">
        <v>45523</v>
      </c>
      <c r="H3">
        <v>421.53</v>
      </c>
      <c r="M3" s="1"/>
      <c r="N3" s="1">
        <v>45523</v>
      </c>
      <c r="O3">
        <v>529.28</v>
      </c>
    </row>
    <row r="4" spans="1:19">
      <c r="A4" s="1">
        <v>45524</v>
      </c>
      <c r="B4">
        <v>226.51</v>
      </c>
      <c r="C4">
        <f>LN(B4/B3)</f>
        <v>2.7409389396927126E-3</v>
      </c>
      <c r="F4" s="2"/>
      <c r="G4" s="1">
        <v>45524</v>
      </c>
      <c r="H4">
        <v>424.8</v>
      </c>
      <c r="I4">
        <f>LN(H4/H3)</f>
        <v>7.7275206413707194E-3</v>
      </c>
      <c r="M4" s="1"/>
      <c r="N4" s="1">
        <v>45524</v>
      </c>
      <c r="O4">
        <v>526.73</v>
      </c>
      <c r="P4">
        <f>LN(O4/O3)</f>
        <v>-4.8295091076441653E-3</v>
      </c>
      <c r="R4" s="3"/>
    </row>
    <row r="5" spans="1:19">
      <c r="A5" s="1">
        <v>45525</v>
      </c>
      <c r="B5">
        <v>226.4</v>
      </c>
      <c r="C5">
        <f t="shared" ref="C5:C68" si="0">LN(B5/B4)</f>
        <v>-4.8574772984859386E-4</v>
      </c>
      <c r="G5" s="1">
        <v>45525</v>
      </c>
      <c r="H5">
        <v>424.14</v>
      </c>
      <c r="I5">
        <f t="shared" ref="I5" si="1">LN(H5/H4)</f>
        <v>-1.5548805168114723E-3</v>
      </c>
      <c r="M5" s="1"/>
      <c r="N5" s="1">
        <v>45525</v>
      </c>
      <c r="O5">
        <v>535.16</v>
      </c>
      <c r="P5">
        <f t="shared" ref="P5:P68" si="2">LN(O5/O4)</f>
        <v>1.5877684317790797E-2</v>
      </c>
    </row>
    <row r="6" spans="1:19">
      <c r="A6" s="1">
        <v>45526</v>
      </c>
      <c r="B6">
        <v>224.53</v>
      </c>
      <c r="C6">
        <f t="shared" si="0"/>
        <v>-8.2940177849183654E-3</v>
      </c>
      <c r="G6" s="1">
        <v>45526</v>
      </c>
      <c r="H6">
        <v>415.55</v>
      </c>
      <c r="I6">
        <f>LN(H6/H5)</f>
        <v>-2.0460645411882226E-2</v>
      </c>
      <c r="M6" s="1"/>
      <c r="N6" s="1">
        <v>45526</v>
      </c>
      <c r="O6">
        <v>531.92999999999995</v>
      </c>
      <c r="P6">
        <f t="shared" si="2"/>
        <v>-6.0538658684117256E-3</v>
      </c>
    </row>
    <row r="7" spans="1:19">
      <c r="A7" s="1">
        <v>45527</v>
      </c>
      <c r="B7">
        <v>226.84</v>
      </c>
      <c r="C7">
        <f t="shared" si="0"/>
        <v>1.0235594601717834E-2</v>
      </c>
      <c r="E7" s="44" t="s">
        <v>73</v>
      </c>
      <c r="F7" s="44"/>
      <c r="G7" s="1">
        <v>45527</v>
      </c>
      <c r="H7">
        <v>416.79</v>
      </c>
      <c r="I7">
        <f t="shared" ref="I7:I70" si="3">LN(H7/H6)</f>
        <v>2.9795538298447027E-3</v>
      </c>
      <c r="M7" s="1"/>
      <c r="N7" s="1">
        <v>45527</v>
      </c>
      <c r="O7">
        <v>528</v>
      </c>
      <c r="P7">
        <f t="shared" si="2"/>
        <v>-7.4156180307452914E-3</v>
      </c>
      <c r="R7" s="3"/>
    </row>
    <row r="8" spans="1:19" ht="16">
      <c r="A8" s="1">
        <v>45530</v>
      </c>
      <c r="B8">
        <v>227.18</v>
      </c>
      <c r="C8">
        <f t="shared" si="0"/>
        <v>1.497731657448228E-3</v>
      </c>
      <c r="E8" s="4" t="s">
        <v>5</v>
      </c>
      <c r="F8" s="4">
        <f>_xlfn.STDEV.S(C4:C129)</f>
        <v>1.3672231948002638E-2</v>
      </c>
      <c r="G8" s="1">
        <v>45530</v>
      </c>
      <c r="H8">
        <v>413.49</v>
      </c>
      <c r="I8">
        <f t="shared" si="3"/>
        <v>-7.9491674544228709E-3</v>
      </c>
      <c r="M8" s="1"/>
      <c r="N8" s="1">
        <v>45530</v>
      </c>
      <c r="O8">
        <v>521.12</v>
      </c>
      <c r="P8">
        <f t="shared" si="2"/>
        <v>-1.3115942178338141E-2</v>
      </c>
      <c r="Q8" s="9"/>
    </row>
    <row r="9" spans="1:19">
      <c r="A9" s="1">
        <v>45531</v>
      </c>
      <c r="B9">
        <v>228.03</v>
      </c>
      <c r="C9">
        <f t="shared" si="0"/>
        <v>3.7345444427833042E-3</v>
      </c>
      <c r="E9" s="4" t="s">
        <v>6</v>
      </c>
      <c r="F9" s="4">
        <f>AnnualizedVolatility(F8)</f>
        <v>0.21703995360964298</v>
      </c>
      <c r="G9" s="1">
        <v>45531</v>
      </c>
      <c r="H9">
        <v>413.84</v>
      </c>
      <c r="I9">
        <f t="shared" si="3"/>
        <v>8.4609532080240444E-4</v>
      </c>
      <c r="K9" s="44" t="s">
        <v>73</v>
      </c>
      <c r="L9" s="44"/>
      <c r="M9" s="1"/>
      <c r="N9" s="1">
        <v>45531</v>
      </c>
      <c r="O9">
        <v>519.1</v>
      </c>
      <c r="P9">
        <f t="shared" si="2"/>
        <v>-3.8837986947399517E-3</v>
      </c>
      <c r="R9" s="44" t="s">
        <v>73</v>
      </c>
      <c r="S9" s="44"/>
    </row>
    <row r="10" spans="1:19">
      <c r="A10" s="1">
        <v>45532</v>
      </c>
      <c r="B10">
        <v>226.49</v>
      </c>
      <c r="C10">
        <f t="shared" si="0"/>
        <v>-6.7764054079900871E-3</v>
      </c>
      <c r="E10" s="4" t="s">
        <v>4</v>
      </c>
      <c r="F10" s="5" cm="1">
        <f t="array" ref="F10">CalculateCAGR(B4,B129,1)</f>
        <v>8.5294247494591913E-2</v>
      </c>
      <c r="G10" s="1">
        <v>45532</v>
      </c>
      <c r="H10">
        <v>410.6</v>
      </c>
      <c r="I10">
        <f t="shared" si="3"/>
        <v>-7.8599211104263648E-3</v>
      </c>
      <c r="K10" s="4" t="s">
        <v>5</v>
      </c>
      <c r="L10" s="4">
        <f>_xlfn.STDEV.S(I2:I127)</f>
        <v>1.3993264078925528E-2</v>
      </c>
      <c r="M10" s="1"/>
      <c r="N10" s="1">
        <v>45532</v>
      </c>
      <c r="O10">
        <v>516.78</v>
      </c>
      <c r="P10">
        <f t="shared" si="2"/>
        <v>-4.4792908040461677E-3</v>
      </c>
      <c r="R10" s="4" t="s">
        <v>5</v>
      </c>
      <c r="S10" s="4">
        <f>_xlfn.STDEV.S(P3:P128)</f>
        <v>1.5613695315398021E-2</v>
      </c>
    </row>
    <row r="11" spans="1:19" ht="16">
      <c r="A11" s="1">
        <v>45533</v>
      </c>
      <c r="B11">
        <v>229.79</v>
      </c>
      <c r="C11">
        <f t="shared" si="0"/>
        <v>1.4465054528776243E-2</v>
      </c>
      <c r="E11" s="7" t="s">
        <v>9</v>
      </c>
      <c r="F11" s="14">
        <f>AVERAGE(C4:C129)</f>
        <v>6.7136575406919765E-4</v>
      </c>
      <c r="G11" s="1">
        <v>45533</v>
      </c>
      <c r="H11">
        <v>413.12</v>
      </c>
      <c r="I11">
        <f t="shared" si="3"/>
        <v>6.1186030734444426E-3</v>
      </c>
      <c r="K11" s="4" t="s">
        <v>6</v>
      </c>
      <c r="L11" s="4">
        <f>AnnualizedVolatility(L10)</f>
        <v>0.22213618069734153</v>
      </c>
      <c r="M11" s="1"/>
      <c r="N11" s="1">
        <v>45533</v>
      </c>
      <c r="O11">
        <v>518.22</v>
      </c>
      <c r="P11">
        <f t="shared" si="2"/>
        <v>2.7826104911119818E-3</v>
      </c>
      <c r="R11" s="4" t="s">
        <v>6</v>
      </c>
      <c r="S11" s="4">
        <f>AnnualizedVolatility(S10)</f>
        <v>0.24785972910766424</v>
      </c>
    </row>
    <row r="12" spans="1:19">
      <c r="A12" s="1">
        <v>45534</v>
      </c>
      <c r="B12">
        <v>229</v>
      </c>
      <c r="C12">
        <f t="shared" si="0"/>
        <v>-3.4438448126052909E-3</v>
      </c>
      <c r="E12" s="4" t="s">
        <v>10</v>
      </c>
      <c r="F12" s="4">
        <f>F11*252</f>
        <v>0.16918417002543781</v>
      </c>
      <c r="G12" s="1">
        <v>45534</v>
      </c>
      <c r="H12">
        <v>417.14</v>
      </c>
      <c r="I12">
        <f t="shared" si="3"/>
        <v>9.6837892102111817E-3</v>
      </c>
      <c r="K12" s="4" t="s">
        <v>4</v>
      </c>
      <c r="L12" s="5">
        <f>CalculateCAGR(H4,H129,1)</f>
        <v>-2.0409604519774027E-2</v>
      </c>
      <c r="M12" s="1"/>
      <c r="N12" s="1">
        <v>45534</v>
      </c>
      <c r="O12">
        <v>521.30999999999995</v>
      </c>
      <c r="P12">
        <f t="shared" si="2"/>
        <v>5.9450118820233789E-3</v>
      </c>
      <c r="R12" s="4" t="s">
        <v>4</v>
      </c>
      <c r="S12" s="5">
        <f>CalculateCAGR(O4,O129,1)</f>
        <v>0.3191578227934615</v>
      </c>
    </row>
    <row r="13" spans="1:19">
      <c r="A13" s="1">
        <v>45538</v>
      </c>
      <c r="B13">
        <v>222.77</v>
      </c>
      <c r="C13">
        <f t="shared" si="0"/>
        <v>-2.7582154477457006E-2</v>
      </c>
      <c r="E13" s="4" t="s">
        <v>27</v>
      </c>
      <c r="F13" s="4">
        <v>0.7</v>
      </c>
      <c r="G13" s="1">
        <v>45538</v>
      </c>
      <c r="H13">
        <v>409.44</v>
      </c>
      <c r="I13">
        <f t="shared" si="3"/>
        <v>-1.8631524457010256E-2</v>
      </c>
      <c r="K13" s="4" t="s">
        <v>9</v>
      </c>
      <c r="L13" s="15">
        <f>AVERAGE(I2:I127)</f>
        <v>-2.3074374257356188E-4</v>
      </c>
      <c r="M13" s="1"/>
      <c r="N13" s="1">
        <v>45538</v>
      </c>
      <c r="O13">
        <v>511.76</v>
      </c>
      <c r="P13">
        <f t="shared" si="2"/>
        <v>-1.8489109260390428E-2</v>
      </c>
      <c r="R13" s="4" t="s">
        <v>9</v>
      </c>
      <c r="S13" s="15">
        <f>AVERAGE(P3:P128)</f>
        <v>2.2794720467020817E-3</v>
      </c>
    </row>
    <row r="14" spans="1:19">
      <c r="A14" s="1">
        <v>45539</v>
      </c>
      <c r="B14">
        <v>220.85</v>
      </c>
      <c r="C14">
        <f t="shared" si="0"/>
        <v>-8.6561110342471426E-3</v>
      </c>
      <c r="E14" s="4" t="s">
        <v>35</v>
      </c>
      <c r="F14" s="5">
        <f>(B129-B4)/B4</f>
        <v>8.5294247494591954E-2</v>
      </c>
      <c r="G14" s="1">
        <v>45539</v>
      </c>
      <c r="H14">
        <v>408.9</v>
      </c>
      <c r="I14">
        <f t="shared" si="3"/>
        <v>-1.3197450408820716E-3</v>
      </c>
      <c r="K14" s="4" t="s">
        <v>11</v>
      </c>
      <c r="L14" s="4">
        <f>L13*252</f>
        <v>-5.8147423128537594E-2</v>
      </c>
      <c r="M14" s="1"/>
      <c r="N14" s="1">
        <v>45539</v>
      </c>
      <c r="O14">
        <v>512.74</v>
      </c>
      <c r="P14">
        <f t="shared" si="2"/>
        <v>1.9131289388093699E-3</v>
      </c>
      <c r="R14" s="4" t="s">
        <v>10</v>
      </c>
      <c r="S14" s="4">
        <f>S13*252</f>
        <v>0.57442695576892455</v>
      </c>
    </row>
    <row r="15" spans="1:19">
      <c r="A15" s="1">
        <v>45540</v>
      </c>
      <c r="B15">
        <v>222.38</v>
      </c>
      <c r="C15">
        <f t="shared" si="0"/>
        <v>6.9038922325676197E-3</v>
      </c>
      <c r="G15" s="1">
        <v>45540</v>
      </c>
      <c r="H15">
        <v>408.39</v>
      </c>
      <c r="I15">
        <f t="shared" si="3"/>
        <v>-1.2480271781052238E-3</v>
      </c>
      <c r="K15" s="4" t="s">
        <v>28</v>
      </c>
      <c r="L15" s="4">
        <v>-0.22</v>
      </c>
      <c r="M15" s="1"/>
      <c r="N15" s="1">
        <v>45540</v>
      </c>
      <c r="O15">
        <v>516.86</v>
      </c>
      <c r="P15">
        <f t="shared" si="2"/>
        <v>8.0031507199325464E-3</v>
      </c>
      <c r="R15" s="4" t="s">
        <v>28</v>
      </c>
      <c r="S15" s="4">
        <v>2.7</v>
      </c>
    </row>
    <row r="16" spans="1:19">
      <c r="A16" s="1">
        <v>45541</v>
      </c>
      <c r="B16">
        <v>220.82</v>
      </c>
      <c r="C16">
        <f t="shared" si="0"/>
        <v>-7.0397402641122122E-3</v>
      </c>
      <c r="G16" s="1">
        <v>45541</v>
      </c>
      <c r="H16">
        <v>401.7</v>
      </c>
      <c r="I16">
        <f t="shared" si="3"/>
        <v>-1.6517058827254908E-2</v>
      </c>
      <c r="M16" s="1"/>
      <c r="N16" s="1">
        <v>45541</v>
      </c>
      <c r="O16">
        <v>500.27</v>
      </c>
      <c r="P16">
        <f t="shared" si="2"/>
        <v>-3.2624092125965537E-2</v>
      </c>
      <c r="R16" s="4" t="s">
        <v>35</v>
      </c>
      <c r="S16" s="5">
        <f>(O129-O4)/O4</f>
        <v>0.31915782279346155</v>
      </c>
    </row>
    <row r="17" spans="1:41">
      <c r="A17" s="1">
        <v>45544</v>
      </c>
      <c r="B17">
        <v>220.91</v>
      </c>
      <c r="C17">
        <f t="shared" si="0"/>
        <v>4.0748874310253498E-4</v>
      </c>
      <c r="E17" s="8"/>
      <c r="F17" s="8"/>
      <c r="G17" s="1">
        <v>45544</v>
      </c>
      <c r="H17">
        <v>405.72</v>
      </c>
      <c r="I17">
        <f t="shared" si="3"/>
        <v>9.9577251425585992E-3</v>
      </c>
      <c r="M17" s="1"/>
      <c r="N17" s="1">
        <v>45544</v>
      </c>
      <c r="O17">
        <v>504.79</v>
      </c>
      <c r="P17">
        <f t="shared" si="2"/>
        <v>8.9945485304542168E-3</v>
      </c>
    </row>
    <row r="18" spans="1:41">
      <c r="A18" s="1">
        <v>45545</v>
      </c>
      <c r="B18">
        <v>220.11</v>
      </c>
      <c r="C18">
        <f t="shared" si="0"/>
        <v>-3.6279573600808664E-3</v>
      </c>
      <c r="G18" s="1">
        <v>45545</v>
      </c>
      <c r="H18">
        <v>414.2</v>
      </c>
      <c r="I18">
        <f t="shared" si="3"/>
        <v>2.0685682453688709E-2</v>
      </c>
      <c r="M18" s="1"/>
      <c r="N18" s="1">
        <v>45545</v>
      </c>
      <c r="O18">
        <v>504.79</v>
      </c>
      <c r="P18">
        <f t="shared" si="2"/>
        <v>0</v>
      </c>
    </row>
    <row r="19" spans="1:41">
      <c r="A19" s="1">
        <v>45546</v>
      </c>
      <c r="B19">
        <v>222.66</v>
      </c>
      <c r="C19">
        <f t="shared" si="0"/>
        <v>1.1518522906548473E-2</v>
      </c>
      <c r="F19" s="6"/>
      <c r="G19" s="1">
        <v>45546</v>
      </c>
      <c r="H19">
        <v>423.04</v>
      </c>
      <c r="I19">
        <f t="shared" si="3"/>
        <v>2.1117788261783055E-2</v>
      </c>
      <c r="M19" s="1"/>
      <c r="N19" s="1">
        <v>45546</v>
      </c>
      <c r="O19">
        <v>511.83</v>
      </c>
      <c r="P19">
        <f t="shared" si="2"/>
        <v>1.3850037449815018E-2</v>
      </c>
    </row>
    <row r="20" spans="1:41">
      <c r="A20" s="1">
        <v>45547</v>
      </c>
      <c r="B20">
        <v>222.77</v>
      </c>
      <c r="C20">
        <f t="shared" si="0"/>
        <v>4.9390477622147076E-4</v>
      </c>
      <c r="E20" s="2"/>
      <c r="F20" s="6"/>
      <c r="G20" s="1">
        <v>45547</v>
      </c>
      <c r="H20">
        <v>427</v>
      </c>
      <c r="I20">
        <f t="shared" si="3"/>
        <v>9.317276005357816E-3</v>
      </c>
      <c r="M20" s="1"/>
      <c r="N20" s="1">
        <v>45547</v>
      </c>
      <c r="O20">
        <v>525.6</v>
      </c>
      <c r="P20">
        <f t="shared" si="2"/>
        <v>2.6547928515473072E-2</v>
      </c>
    </row>
    <row r="21" spans="1:41">
      <c r="A21" s="1">
        <v>45548</v>
      </c>
      <c r="B21">
        <v>222.5</v>
      </c>
      <c r="C21">
        <f t="shared" si="0"/>
        <v>-1.2127474704876769E-3</v>
      </c>
      <c r="G21" s="1">
        <v>45548</v>
      </c>
      <c r="H21">
        <v>430.59</v>
      </c>
      <c r="I21">
        <f t="shared" si="3"/>
        <v>8.3723480227740621E-3</v>
      </c>
      <c r="M21" s="1"/>
      <c r="N21" s="1">
        <v>45548</v>
      </c>
      <c r="O21">
        <v>524.62</v>
      </c>
      <c r="P21">
        <f t="shared" si="2"/>
        <v>-1.8662761791699632E-3</v>
      </c>
    </row>
    <row r="22" spans="1:41">
      <c r="A22" s="1">
        <v>45551</v>
      </c>
      <c r="B22">
        <v>216.32</v>
      </c>
      <c r="C22">
        <f t="shared" si="0"/>
        <v>-2.8168308751695719E-2</v>
      </c>
      <c r="G22" s="1">
        <v>45551</v>
      </c>
      <c r="H22">
        <v>431.34</v>
      </c>
      <c r="I22">
        <f t="shared" si="3"/>
        <v>1.7402809724365456E-3</v>
      </c>
      <c r="M22" s="1"/>
      <c r="N22" s="1">
        <v>45551</v>
      </c>
      <c r="O22">
        <v>533.28</v>
      </c>
      <c r="P22">
        <f t="shared" si="2"/>
        <v>1.6372423568198735E-2</v>
      </c>
    </row>
    <row r="23" spans="1:41">
      <c r="A23" s="1">
        <v>45552</v>
      </c>
      <c r="B23">
        <v>216.79</v>
      </c>
      <c r="C23">
        <f t="shared" si="0"/>
        <v>2.1703501858254429E-3</v>
      </c>
      <c r="G23" s="1">
        <v>45552</v>
      </c>
      <c r="H23">
        <v>435.15</v>
      </c>
      <c r="I23">
        <f t="shared" si="3"/>
        <v>8.7941570116875194E-3</v>
      </c>
      <c r="M23" s="1"/>
      <c r="N23" s="1">
        <v>45552</v>
      </c>
      <c r="O23">
        <v>536.31500000000005</v>
      </c>
      <c r="P23">
        <f t="shared" si="2"/>
        <v>5.6750604584137549E-3</v>
      </c>
    </row>
    <row r="24" spans="1:41">
      <c r="A24" s="1">
        <v>45553</v>
      </c>
      <c r="B24">
        <v>220.69</v>
      </c>
      <c r="C24">
        <f t="shared" si="0"/>
        <v>1.7829858819643829E-2</v>
      </c>
      <c r="E24" s="6"/>
      <c r="G24" s="1">
        <v>45553</v>
      </c>
      <c r="H24">
        <v>430.81</v>
      </c>
      <c r="I24">
        <f t="shared" si="3"/>
        <v>-1.0023641595028616E-2</v>
      </c>
      <c r="M24" s="1"/>
      <c r="N24" s="1">
        <v>45553</v>
      </c>
      <c r="O24">
        <v>537.95000000000005</v>
      </c>
      <c r="P24">
        <f t="shared" si="2"/>
        <v>3.0439440220749129E-3</v>
      </c>
    </row>
    <row r="25" spans="1:41">
      <c r="A25" s="1">
        <v>45554</v>
      </c>
      <c r="B25">
        <v>228.87</v>
      </c>
      <c r="C25">
        <f t="shared" si="0"/>
        <v>3.6395154910179209E-2</v>
      </c>
      <c r="G25" s="1">
        <v>45554</v>
      </c>
      <c r="H25">
        <v>438.69</v>
      </c>
      <c r="I25">
        <f t="shared" si="3"/>
        <v>1.8125855651403351E-2</v>
      </c>
      <c r="M25" s="1"/>
      <c r="N25" s="1">
        <v>45554</v>
      </c>
      <c r="O25">
        <v>559.1</v>
      </c>
      <c r="P25">
        <f t="shared" si="2"/>
        <v>3.8562728992681407E-2</v>
      </c>
    </row>
    <row r="26" spans="1:41">
      <c r="A26" s="1">
        <v>45555</v>
      </c>
      <c r="B26">
        <v>228.2</v>
      </c>
      <c r="C26">
        <f t="shared" si="0"/>
        <v>-2.9317193422724623E-3</v>
      </c>
      <c r="G26" s="1">
        <v>45555</v>
      </c>
      <c r="H26">
        <v>435.27</v>
      </c>
      <c r="I26">
        <f t="shared" si="3"/>
        <v>-7.8264850961940139E-3</v>
      </c>
      <c r="M26" s="1"/>
      <c r="N26" s="1">
        <v>45555</v>
      </c>
      <c r="O26">
        <v>561.35</v>
      </c>
      <c r="P26">
        <f t="shared" si="2"/>
        <v>4.0162488721888915E-3</v>
      </c>
      <c r="R26" s="6"/>
      <c r="S26" s="6"/>
      <c r="T26" s="6"/>
    </row>
    <row r="27" spans="1:41">
      <c r="A27" s="1">
        <v>45558</v>
      </c>
      <c r="B27">
        <v>226.47</v>
      </c>
      <c r="C27">
        <f t="shared" si="0"/>
        <v>-7.6099516083320351E-3</v>
      </c>
      <c r="G27" s="1">
        <v>45558</v>
      </c>
      <c r="H27">
        <v>433.51</v>
      </c>
      <c r="I27">
        <f t="shared" si="3"/>
        <v>-4.051664190420563E-3</v>
      </c>
      <c r="M27" s="1"/>
      <c r="N27" s="1">
        <v>45558</v>
      </c>
      <c r="O27">
        <v>564.41</v>
      </c>
      <c r="P27">
        <f t="shared" si="2"/>
        <v>5.4363408474554795E-3</v>
      </c>
      <c r="Q27" s="8"/>
      <c r="R27" s="6"/>
      <c r="S27" s="6"/>
      <c r="T27" s="6"/>
    </row>
    <row r="28" spans="1:41">
      <c r="A28" s="1">
        <v>45559</v>
      </c>
      <c r="B28">
        <v>227.37</v>
      </c>
      <c r="C28">
        <f t="shared" si="0"/>
        <v>3.9661606724042875E-3</v>
      </c>
      <c r="G28" s="1">
        <v>45559</v>
      </c>
      <c r="H28">
        <v>429.17</v>
      </c>
      <c r="I28">
        <f t="shared" si="3"/>
        <v>-1.0061753175372987E-2</v>
      </c>
      <c r="M28" s="1"/>
      <c r="N28" s="1">
        <v>45559</v>
      </c>
      <c r="O28">
        <v>563.33000000000004</v>
      </c>
      <c r="P28">
        <f t="shared" si="2"/>
        <v>-1.915335680504168E-3</v>
      </c>
    </row>
    <row r="29" spans="1:41">
      <c r="A29" s="1">
        <v>45560</v>
      </c>
      <c r="B29">
        <v>226.37</v>
      </c>
      <c r="C29">
        <f t="shared" si="0"/>
        <v>-4.407817777012997E-3</v>
      </c>
      <c r="G29" s="1">
        <v>45560</v>
      </c>
      <c r="H29">
        <v>432.11</v>
      </c>
      <c r="I29">
        <f t="shared" si="3"/>
        <v>6.8270746312079078E-3</v>
      </c>
      <c r="M29" s="1"/>
      <c r="N29" s="1">
        <v>45560</v>
      </c>
      <c r="O29">
        <v>568.30999999999995</v>
      </c>
      <c r="P29">
        <f t="shared" si="2"/>
        <v>8.801442416483566E-3</v>
      </c>
    </row>
    <row r="30" spans="1:41" ht="21">
      <c r="A30" s="1">
        <v>45561</v>
      </c>
      <c r="B30">
        <v>227.52</v>
      </c>
      <c r="C30">
        <f t="shared" si="0"/>
        <v>5.0673178998415468E-3</v>
      </c>
      <c r="G30" s="1">
        <v>45561</v>
      </c>
      <c r="H30">
        <v>431.31</v>
      </c>
      <c r="I30">
        <f t="shared" si="3"/>
        <v>-1.8530963585069932E-3</v>
      </c>
      <c r="M30" s="1"/>
      <c r="N30" s="1">
        <v>45561</v>
      </c>
      <c r="O30">
        <v>567.84</v>
      </c>
      <c r="P30">
        <f t="shared" si="2"/>
        <v>-8.2735559003679915E-4</v>
      </c>
      <c r="R30" s="43" t="s">
        <v>29</v>
      </c>
      <c r="S30" s="44"/>
      <c r="T30" s="44"/>
      <c r="U30" s="44"/>
    </row>
    <row r="31" spans="1:41" ht="21">
      <c r="A31" s="1">
        <v>45562</v>
      </c>
      <c r="B31">
        <v>227.79</v>
      </c>
      <c r="C31">
        <f t="shared" si="0"/>
        <v>1.1860052783758518E-3</v>
      </c>
      <c r="G31" s="1">
        <v>45562</v>
      </c>
      <c r="H31">
        <v>428.02</v>
      </c>
      <c r="I31">
        <f t="shared" si="3"/>
        <v>-7.6571656406158482E-3</v>
      </c>
      <c r="M31" s="1"/>
      <c r="N31" s="1">
        <v>45562</v>
      </c>
      <c r="O31">
        <v>567.36</v>
      </c>
      <c r="P31">
        <f t="shared" si="2"/>
        <v>-8.4566601234325805E-4</v>
      </c>
      <c r="Y31" s="31" t="s">
        <v>32</v>
      </c>
      <c r="Z31" s="31"/>
      <c r="AA31" s="31"/>
      <c r="AB31" s="31"/>
      <c r="AC31" s="31"/>
      <c r="AD31" s="31"/>
      <c r="AH31" s="43" t="s">
        <v>54</v>
      </c>
      <c r="AI31" s="44"/>
      <c r="AJ31" s="44"/>
      <c r="AK31" s="44"/>
      <c r="AL31" s="44"/>
      <c r="AM31" s="44"/>
      <c r="AN31" s="44"/>
      <c r="AO31" s="44"/>
    </row>
    <row r="32" spans="1:41">
      <c r="A32" s="1">
        <v>45565</v>
      </c>
      <c r="B32">
        <v>233</v>
      </c>
      <c r="C32">
        <f t="shared" si="0"/>
        <v>2.2614301672448562E-2</v>
      </c>
      <c r="G32" s="1">
        <v>45565</v>
      </c>
      <c r="H32">
        <v>430.3</v>
      </c>
      <c r="I32">
        <f t="shared" si="3"/>
        <v>5.3127163825590863E-3</v>
      </c>
      <c r="M32" s="1"/>
      <c r="N32" s="1">
        <v>45565</v>
      </c>
      <c r="O32">
        <v>572.44000000000005</v>
      </c>
      <c r="P32">
        <f t="shared" si="2"/>
        <v>8.9139035568321732E-3</v>
      </c>
      <c r="R32" s="16" t="s">
        <v>15</v>
      </c>
      <c r="S32" s="16" t="s">
        <v>16</v>
      </c>
      <c r="T32" s="16" t="s">
        <v>8</v>
      </c>
      <c r="U32" s="16" t="s">
        <v>13</v>
      </c>
      <c r="Y32" s="31"/>
      <c r="Z32" s="31"/>
      <c r="AA32" s="31"/>
      <c r="AB32" s="31"/>
      <c r="AC32" s="31"/>
      <c r="AD32" s="31"/>
      <c r="AH32" s="4"/>
      <c r="AI32" s="4"/>
      <c r="AJ32" s="4"/>
      <c r="AK32" s="4"/>
      <c r="AL32" s="4"/>
      <c r="AM32" s="4"/>
      <c r="AN32" s="4"/>
      <c r="AO32" s="4"/>
    </row>
    <row r="33" spans="1:41">
      <c r="A33" s="1">
        <v>45566</v>
      </c>
      <c r="B33">
        <v>226.21</v>
      </c>
      <c r="C33">
        <f t="shared" si="0"/>
        <v>-2.9574682195956357E-2</v>
      </c>
      <c r="G33" s="1">
        <v>45566</v>
      </c>
      <c r="H33">
        <v>420.69</v>
      </c>
      <c r="I33">
        <f t="shared" si="3"/>
        <v>-2.2586419437884826E-2</v>
      </c>
      <c r="M33" s="1"/>
      <c r="N33" s="1">
        <v>45566</v>
      </c>
      <c r="O33">
        <v>576.47</v>
      </c>
      <c r="P33">
        <f t="shared" si="2"/>
        <v>7.0153737510882472E-3</v>
      </c>
      <c r="R33" s="16" t="s">
        <v>17</v>
      </c>
      <c r="S33" s="17">
        <f>_xlfn.COVARIANCE.S(C4:C129,C4:C129)</f>
        <v>1.8692992643998404E-4</v>
      </c>
      <c r="T33" s="17">
        <f>_xlfn.COVARIANCE.S(C4:C129,I4:I129)</f>
        <v>8.4389168346393217E-5</v>
      </c>
      <c r="U33" s="17">
        <f>_xlfn.COVARIANCE.S(C4:C129,P4:P129)</f>
        <v>7.4415740751058147E-5</v>
      </c>
      <c r="Y33" s="28" t="s">
        <v>36</v>
      </c>
      <c r="Z33" s="28"/>
      <c r="AA33" s="28" t="s">
        <v>35</v>
      </c>
      <c r="AB33" s="28"/>
      <c r="AC33" s="28" t="s">
        <v>37</v>
      </c>
      <c r="AD33" s="28"/>
      <c r="AE33" s="28" t="s">
        <v>38</v>
      </c>
      <c r="AF33" s="28"/>
      <c r="AH33" s="47"/>
      <c r="AI33" s="47"/>
      <c r="AJ33" s="47"/>
    </row>
    <row r="34" spans="1:41">
      <c r="A34" s="1">
        <v>45567</v>
      </c>
      <c r="B34">
        <v>226.78</v>
      </c>
      <c r="C34">
        <f t="shared" si="0"/>
        <v>2.5166131739495158E-3</v>
      </c>
      <c r="G34" s="1">
        <v>45567</v>
      </c>
      <c r="H34">
        <v>417.13</v>
      </c>
      <c r="I34">
        <f t="shared" si="3"/>
        <v>-8.4982965924682314E-3</v>
      </c>
      <c r="M34" s="1"/>
      <c r="N34" s="1">
        <v>45567</v>
      </c>
      <c r="O34">
        <v>572.80999999999995</v>
      </c>
      <c r="P34">
        <f t="shared" si="2"/>
        <v>-6.3692265991598584E-3</v>
      </c>
      <c r="Q34" t="s">
        <v>14</v>
      </c>
      <c r="R34" s="16" t="s">
        <v>12</v>
      </c>
      <c r="S34" s="17">
        <f>_xlfn.COVARIANCE.S(I4:I129,C4:C129)</f>
        <v>8.4389168346393217E-5</v>
      </c>
      <c r="T34" s="17">
        <f>_xlfn.COVARIANCE.S(I4:I129,I4:I129)</f>
        <v>1.9404555702492421E-4</v>
      </c>
      <c r="U34" s="17">
        <f>_xlfn.COVARIANCE.S(I4:I129,P4:P129)</f>
        <v>9.6784389536156966E-5</v>
      </c>
      <c r="Y34" t="s">
        <v>33</v>
      </c>
      <c r="AA34" s="32">
        <v>8.5300000000000001E-2</v>
      </c>
      <c r="AB34" s="28"/>
      <c r="AC34" s="33">
        <f>F9</f>
        <v>0.21703995360964298</v>
      </c>
      <c r="AD34" s="33"/>
      <c r="AE34" s="35">
        <f>CORREL(C4:C129,P4:P129)</f>
        <v>0.34870311428464107</v>
      </c>
      <c r="AF34" s="35"/>
      <c r="AG34" s="28" t="s">
        <v>55</v>
      </c>
      <c r="AH34" s="28"/>
      <c r="AI34" s="28"/>
      <c r="AJ34" s="3">
        <v>4.2500000000000003E-2</v>
      </c>
    </row>
    <row r="35" spans="1:41">
      <c r="A35" s="1">
        <v>45568</v>
      </c>
      <c r="B35">
        <v>225.67</v>
      </c>
      <c r="C35">
        <f t="shared" si="0"/>
        <v>-4.9066293598749146E-3</v>
      </c>
      <c r="G35" s="1">
        <v>45568</v>
      </c>
      <c r="H35">
        <v>416.54</v>
      </c>
      <c r="I35">
        <f t="shared" si="3"/>
        <v>-1.415428403330617E-3</v>
      </c>
      <c r="M35" s="1"/>
      <c r="N35" s="1">
        <v>45568</v>
      </c>
      <c r="O35">
        <v>582.77</v>
      </c>
      <c r="P35">
        <f t="shared" si="2"/>
        <v>1.7238523766664158E-2</v>
      </c>
      <c r="R35" s="16" t="s">
        <v>13</v>
      </c>
      <c r="S35" s="17">
        <f>_xlfn.COVARIANCE.S(P4:P129,C4:C129)</f>
        <v>7.4415740751058147E-5</v>
      </c>
      <c r="T35" s="17">
        <f>_xlfn.COVARIANCE.S(P4:P129,I4:I129)</f>
        <v>9.6784389536156966E-5</v>
      </c>
      <c r="U35" s="17">
        <f>_xlfn.COVARIANCE.S(P4:P129,P4:P129)</f>
        <v>2.4363469312522221E-4</v>
      </c>
      <c r="Y35" t="s">
        <v>34</v>
      </c>
      <c r="AA35" s="32">
        <v>0.31919999999999998</v>
      </c>
      <c r="AB35" s="28"/>
      <c r="AC35" s="34">
        <f>S11</f>
        <v>0.24785972910766424</v>
      </c>
      <c r="AD35" s="34"/>
      <c r="AE35" s="35"/>
      <c r="AF35" s="35"/>
      <c r="AH35" s="13" t="s">
        <v>56</v>
      </c>
      <c r="AI35" s="13"/>
      <c r="AJ35" s="11">
        <f>AA51</f>
        <v>0.31919999999999998</v>
      </c>
    </row>
    <row r="36" spans="1:41">
      <c r="A36" s="1">
        <v>45569</v>
      </c>
      <c r="B36">
        <v>226.8</v>
      </c>
      <c r="C36">
        <f t="shared" si="0"/>
        <v>4.9948166697781288E-3</v>
      </c>
      <c r="G36" s="1">
        <v>45569</v>
      </c>
      <c r="H36">
        <v>416.06</v>
      </c>
      <c r="I36">
        <f t="shared" si="3"/>
        <v>-1.1530147806335601E-3</v>
      </c>
      <c r="M36" s="1"/>
      <c r="N36" s="1">
        <v>45569</v>
      </c>
      <c r="O36">
        <v>595.94000000000005</v>
      </c>
      <c r="P36">
        <f t="shared" si="2"/>
        <v>2.2347393495463202E-2</v>
      </c>
      <c r="AG36" s="28" t="s">
        <v>57</v>
      </c>
      <c r="AH36" s="28"/>
      <c r="AI36" s="28"/>
      <c r="AJ36" s="2">
        <f>AA52</f>
        <v>0.24778204670144283</v>
      </c>
      <c r="AL36" s="44" t="s">
        <v>63</v>
      </c>
      <c r="AM36" s="44"/>
      <c r="AN36" s="44"/>
      <c r="AO36" s="3">
        <f>1-AJ41</f>
        <v>-0.12670311741226459</v>
      </c>
    </row>
    <row r="37" spans="1:41">
      <c r="A37" s="1">
        <v>45572</v>
      </c>
      <c r="B37">
        <v>221.69</v>
      </c>
      <c r="C37">
        <f t="shared" si="0"/>
        <v>-2.2788562247735331E-2</v>
      </c>
      <c r="G37" s="1">
        <v>45572</v>
      </c>
      <c r="H37">
        <v>409.54</v>
      </c>
      <c r="I37">
        <f t="shared" si="3"/>
        <v>-1.5794902009822458E-2</v>
      </c>
      <c r="M37" s="1"/>
      <c r="N37" s="1">
        <v>45572</v>
      </c>
      <c r="O37">
        <v>584.78</v>
      </c>
      <c r="P37">
        <f t="shared" si="2"/>
        <v>-1.8904282732388328E-2</v>
      </c>
      <c r="AG37" s="28" t="s">
        <v>58</v>
      </c>
      <c r="AH37" s="28"/>
      <c r="AI37" s="28"/>
      <c r="AJ37">
        <v>4</v>
      </c>
      <c r="AL37" s="28" t="s">
        <v>61</v>
      </c>
      <c r="AM37" s="28"/>
      <c r="AN37" s="28"/>
      <c r="AO37" s="3">
        <f>AJ41*AC48</f>
        <v>0</v>
      </c>
    </row>
    <row r="38" spans="1:41" ht="21">
      <c r="A38" s="1">
        <v>45573</v>
      </c>
      <c r="B38">
        <v>225.77</v>
      </c>
      <c r="C38">
        <f t="shared" si="0"/>
        <v>1.8236772344019592E-2</v>
      </c>
      <c r="G38" s="1">
        <v>45573</v>
      </c>
      <c r="H38">
        <v>414.71</v>
      </c>
      <c r="I38">
        <f t="shared" si="3"/>
        <v>1.2544902158405345E-2</v>
      </c>
      <c r="M38" s="1"/>
      <c r="N38" s="1">
        <v>45573</v>
      </c>
      <c r="O38">
        <v>592.89</v>
      </c>
      <c r="P38">
        <f t="shared" si="2"/>
        <v>1.3773176196110088E-2</v>
      </c>
      <c r="R38" s="45" t="s">
        <v>30</v>
      </c>
      <c r="S38" s="45"/>
      <c r="T38" s="45"/>
      <c r="U38" s="45"/>
      <c r="Z38" t="s">
        <v>15</v>
      </c>
      <c r="AA38" t="s">
        <v>39</v>
      </c>
      <c r="AB38" t="s">
        <v>40</v>
      </c>
      <c r="AG38" s="28" t="s">
        <v>58</v>
      </c>
      <c r="AH38" s="28"/>
      <c r="AI38" s="28"/>
      <c r="AJ38" s="25">
        <v>10</v>
      </c>
      <c r="AL38" s="28" t="s">
        <v>72</v>
      </c>
      <c r="AM38" s="28"/>
      <c r="AN38" s="28"/>
      <c r="AO38" s="3">
        <f>AJ41*AC49</f>
        <v>1.1267031174122646</v>
      </c>
    </row>
    <row r="39" spans="1:41" ht="15" customHeight="1">
      <c r="A39" s="1">
        <v>45574</v>
      </c>
      <c r="B39">
        <v>229.54</v>
      </c>
      <c r="C39">
        <f t="shared" si="0"/>
        <v>1.6560524302640989E-2</v>
      </c>
      <c r="G39" s="1">
        <v>45574</v>
      </c>
      <c r="H39">
        <v>417.46</v>
      </c>
      <c r="I39">
        <f t="shared" si="3"/>
        <v>6.6092505389408794E-3</v>
      </c>
      <c r="M39" s="1"/>
      <c r="N39" s="1">
        <v>45574</v>
      </c>
      <c r="O39">
        <v>590.51</v>
      </c>
      <c r="P39">
        <f t="shared" si="2"/>
        <v>-4.0223140254117074E-3</v>
      </c>
      <c r="Z39" t="s">
        <v>39</v>
      </c>
      <c r="AA39">
        <f>_xlfn.COVARIANCE.S(C4:C129,C4:C129)</f>
        <v>1.8692992643998404E-4</v>
      </c>
      <c r="AB39" s="10">
        <f>U33</f>
        <v>7.4415740751058147E-5</v>
      </c>
      <c r="AG39" s="46"/>
      <c r="AH39" s="46"/>
      <c r="AI39" s="46"/>
      <c r="AJ39" s="26" t="s">
        <v>64</v>
      </c>
      <c r="AK39" s="27" t="s">
        <v>65</v>
      </c>
      <c r="AL39" s="28" t="s">
        <v>62</v>
      </c>
      <c r="AM39" s="28"/>
      <c r="AN39" s="28"/>
      <c r="AO39" s="3">
        <f>SUM(AO36+AO37+AO38)</f>
        <v>1</v>
      </c>
    </row>
    <row r="40" spans="1:41" ht="15" customHeight="1">
      <c r="A40" s="1">
        <v>45575</v>
      </c>
      <c r="B40">
        <v>229.04</v>
      </c>
      <c r="C40">
        <f t="shared" si="0"/>
        <v>-2.1806454626626935E-3</v>
      </c>
      <c r="G40" s="1">
        <v>45575</v>
      </c>
      <c r="H40">
        <v>415.84</v>
      </c>
      <c r="I40">
        <f t="shared" si="3"/>
        <v>-3.8881604245801747E-3</v>
      </c>
      <c r="M40" s="1"/>
      <c r="N40" s="1">
        <v>45575</v>
      </c>
      <c r="O40">
        <v>583.83000000000004</v>
      </c>
      <c r="P40">
        <f t="shared" si="2"/>
        <v>-1.1376725733857463E-2</v>
      </c>
      <c r="Z40" t="s">
        <v>40</v>
      </c>
      <c r="AA40" s="10">
        <f>U33</f>
        <v>7.4415740751058147E-5</v>
      </c>
      <c r="AB40" s="10">
        <f>U35</f>
        <v>2.4363469312522221E-4</v>
      </c>
      <c r="AG40" s="29"/>
      <c r="AH40" s="30"/>
      <c r="AI40" s="30"/>
      <c r="AJ40" s="25"/>
    </row>
    <row r="41" spans="1:41">
      <c r="A41" s="1">
        <v>45576</v>
      </c>
      <c r="B41">
        <v>227.55</v>
      </c>
      <c r="C41">
        <f t="shared" si="0"/>
        <v>-6.5266663272085766E-3</v>
      </c>
      <c r="G41" s="1">
        <v>45576</v>
      </c>
      <c r="H41">
        <v>416.32</v>
      </c>
      <c r="I41">
        <f t="shared" si="3"/>
        <v>1.1536244309604711E-3</v>
      </c>
      <c r="M41" s="1"/>
      <c r="N41" s="1">
        <v>45576</v>
      </c>
      <c r="O41">
        <v>589.95000000000005</v>
      </c>
      <c r="P41">
        <f t="shared" si="2"/>
        <v>1.0427942984744859E-2</v>
      </c>
      <c r="R41" s="20" t="s">
        <v>18</v>
      </c>
      <c r="S41" s="20" t="s">
        <v>42</v>
      </c>
      <c r="T41" s="20"/>
      <c r="U41" s="20" t="s">
        <v>19</v>
      </c>
      <c r="V41" s="20" t="s">
        <v>20</v>
      </c>
      <c r="AG41" s="28" t="s">
        <v>66</v>
      </c>
      <c r="AH41" s="28"/>
      <c r="AI41" s="28"/>
      <c r="AJ41" s="24">
        <f>(AJ35-AJ34)/(AJ37*AJ36^2)</f>
        <v>1.1267031174122646</v>
      </c>
      <c r="AK41" s="24">
        <f>(AJ35-AJ34)/(AJ38*AJ36^2)</f>
        <v>0.4506812469649058</v>
      </c>
      <c r="AL41" s="44" t="s">
        <v>67</v>
      </c>
      <c r="AM41" s="44"/>
      <c r="AN41" s="44"/>
      <c r="AO41" s="3">
        <f>1-AK41</f>
        <v>0.54931875303509425</v>
      </c>
    </row>
    <row r="42" spans="1:41">
      <c r="A42" s="1">
        <v>45579</v>
      </c>
      <c r="B42">
        <v>231.3</v>
      </c>
      <c r="C42">
        <f t="shared" si="0"/>
        <v>1.6345574774742577E-2</v>
      </c>
      <c r="G42" s="1">
        <v>45579</v>
      </c>
      <c r="H42">
        <v>419.14</v>
      </c>
      <c r="I42">
        <f t="shared" si="3"/>
        <v>6.7507976676563454E-3</v>
      </c>
      <c r="M42" s="1"/>
      <c r="N42" s="1">
        <v>45579</v>
      </c>
      <c r="O42">
        <v>590.41999999999996</v>
      </c>
      <c r="P42">
        <f t="shared" si="2"/>
        <v>7.9636050533141297E-4</v>
      </c>
      <c r="R42" s="18">
        <v>0.4137262302785123</v>
      </c>
      <c r="S42" s="18">
        <v>0.33578191853948303</v>
      </c>
      <c r="T42" s="18"/>
      <c r="U42" s="18">
        <v>0.2504918511820049</v>
      </c>
      <c r="V42" s="19">
        <f>SUM(R42+S42+U42)</f>
        <v>1.0000000000000002</v>
      </c>
      <c r="Z42" t="s">
        <v>41</v>
      </c>
      <c r="AA42">
        <f t="array" ref="AA42:AB43">MINVERSE(AA39:AB40)</f>
        <v>6090.11934080022</v>
      </c>
      <c r="AB42">
        <v>-1860.1650536488264</v>
      </c>
      <c r="AG42" s="28" t="s">
        <v>59</v>
      </c>
      <c r="AH42" s="28"/>
      <c r="AI42" s="28"/>
      <c r="AJ42" s="3">
        <f>(AJ41*AJ35)+(1-AJ41)*AJ34</f>
        <v>0.35425875258797362</v>
      </c>
      <c r="AK42" s="3">
        <f>(AK41*AJ35)+(1-AK41)*AJ34</f>
        <v>0.16720350103518944</v>
      </c>
      <c r="AL42" s="28" t="s">
        <v>61</v>
      </c>
      <c r="AM42" s="28"/>
      <c r="AN42" s="28"/>
      <c r="AO42" s="3">
        <f>AK41*AC48</f>
        <v>0</v>
      </c>
    </row>
    <row r="43" spans="1:41">
      <c r="A43" s="1">
        <v>45580</v>
      </c>
      <c r="B43">
        <v>233.85</v>
      </c>
      <c r="C43">
        <f t="shared" si="0"/>
        <v>1.0964314934501682E-2</v>
      </c>
      <c r="G43" s="1">
        <v>45580</v>
      </c>
      <c r="H43">
        <v>418.74</v>
      </c>
      <c r="I43">
        <f t="shared" si="3"/>
        <v>-9.5479073468157682E-4</v>
      </c>
      <c r="M43" s="1"/>
      <c r="N43" s="1">
        <v>45580</v>
      </c>
      <c r="O43">
        <v>586.27</v>
      </c>
      <c r="P43">
        <f t="shared" si="2"/>
        <v>-7.0537137340859818E-3</v>
      </c>
      <c r="AA43">
        <v>-1860.1650536488264</v>
      </c>
      <c r="AB43">
        <v>4672.6742640112698</v>
      </c>
      <c r="AG43" s="28" t="s">
        <v>60</v>
      </c>
      <c r="AH43" s="28"/>
      <c r="AI43" s="28"/>
      <c r="AJ43" s="3">
        <f>AJ41*AJ36</f>
        <v>0.27917680445730697</v>
      </c>
      <c r="AK43" s="3">
        <f>AK41*AJ36</f>
        <v>0.11167072178292278</v>
      </c>
      <c r="AL43" s="28" t="s">
        <v>72</v>
      </c>
      <c r="AM43" s="28"/>
      <c r="AN43" s="28"/>
      <c r="AO43" s="3">
        <f>AK41*AC49</f>
        <v>0.4506812469649058</v>
      </c>
    </row>
    <row r="44" spans="1:41">
      <c r="A44" s="1">
        <v>45581</v>
      </c>
      <c r="B44">
        <v>231.78</v>
      </c>
      <c r="C44">
        <f t="shared" si="0"/>
        <v>-8.8912382656501972E-3</v>
      </c>
      <c r="G44" s="1">
        <v>45581</v>
      </c>
      <c r="H44">
        <v>416.12</v>
      </c>
      <c r="I44">
        <f t="shared" si="3"/>
        <v>-6.2765220544207835E-3</v>
      </c>
      <c r="M44" s="1"/>
      <c r="N44" s="1">
        <v>45581</v>
      </c>
      <c r="O44">
        <v>576.79</v>
      </c>
      <c r="P44">
        <f t="shared" si="2"/>
        <v>-1.6302185528622715E-2</v>
      </c>
      <c r="R44" t="s">
        <v>21</v>
      </c>
      <c r="AL44" s="28" t="s">
        <v>68</v>
      </c>
      <c r="AM44" s="28"/>
      <c r="AN44" s="28"/>
      <c r="AO44" s="3">
        <f>SUM(AO41+AO42+AO43)</f>
        <v>1</v>
      </c>
    </row>
    <row r="45" spans="1:41">
      <c r="A45" s="1">
        <v>45582</v>
      </c>
      <c r="B45">
        <v>232.15</v>
      </c>
      <c r="C45">
        <f t="shared" si="0"/>
        <v>1.5950685596858294E-3</v>
      </c>
      <c r="G45" s="1">
        <v>45582</v>
      </c>
      <c r="H45">
        <v>416.72</v>
      </c>
      <c r="I45">
        <f t="shared" si="3"/>
        <v>1.4408532342417256E-3</v>
      </c>
      <c r="M45" s="1"/>
      <c r="N45" s="1">
        <v>45582</v>
      </c>
      <c r="O45">
        <v>576.92999999999995</v>
      </c>
      <c r="P45">
        <f t="shared" si="2"/>
        <v>2.4269320231457711E-4</v>
      </c>
      <c r="R45">
        <f>R42^2*S33+S42^2*T34+U42^2*U35+2*R42*S42*T33+2*R42*U42*U33+2*S42*U42*U34</f>
        <v>1.2431470326346145E-4</v>
      </c>
      <c r="Z45" t="s">
        <v>44</v>
      </c>
      <c r="AA45" s="21">
        <f>AA34-T53</f>
        <v>4.2799999999999998E-2</v>
      </c>
    </row>
    <row r="46" spans="1:41">
      <c r="A46" s="1">
        <v>45583</v>
      </c>
      <c r="B46">
        <v>235</v>
      </c>
      <c r="C46">
        <f t="shared" si="0"/>
        <v>1.2201799678228265E-2</v>
      </c>
      <c r="G46" s="1">
        <v>45583</v>
      </c>
      <c r="H46">
        <v>418.16</v>
      </c>
      <c r="I46">
        <f t="shared" si="3"/>
        <v>3.4496009677303843E-3</v>
      </c>
      <c r="M46" s="1"/>
      <c r="N46" s="1">
        <v>45583</v>
      </c>
      <c r="O46">
        <v>576.47</v>
      </c>
      <c r="P46">
        <f t="shared" si="2"/>
        <v>-7.976417971022299E-4</v>
      </c>
      <c r="R46" t="s">
        <v>22</v>
      </c>
      <c r="S46" t="s">
        <v>24</v>
      </c>
      <c r="AA46" s="21">
        <f>AA35-T53</f>
        <v>0.2767</v>
      </c>
    </row>
    <row r="47" spans="1:41">
      <c r="A47" s="1">
        <v>45586</v>
      </c>
      <c r="B47">
        <v>236.48</v>
      </c>
      <c r="C47">
        <f t="shared" si="0"/>
        <v>6.278123615677908E-3</v>
      </c>
      <c r="G47" s="1">
        <v>45586</v>
      </c>
      <c r="H47">
        <v>418.78</v>
      </c>
      <c r="I47">
        <f t="shared" si="3"/>
        <v>1.4815879595039864E-3</v>
      </c>
      <c r="M47" s="1"/>
      <c r="N47" s="1">
        <v>45586</v>
      </c>
      <c r="O47">
        <v>575.16</v>
      </c>
      <c r="P47">
        <f t="shared" si="2"/>
        <v>-2.275037234223207E-3</v>
      </c>
      <c r="R47" s="12">
        <f>R42*F11+S42*L13+U42*S13</f>
        <v>7.7127121869284662E-4</v>
      </c>
      <c r="S47" s="12">
        <f>R47*252</f>
        <v>0.19436034711059735</v>
      </c>
      <c r="AC47" t="s">
        <v>71</v>
      </c>
    </row>
    <row r="48" spans="1:41">
      <c r="A48" s="1">
        <v>45587</v>
      </c>
      <c r="B48">
        <v>235.86</v>
      </c>
      <c r="C48">
        <f t="shared" si="0"/>
        <v>-2.625229098012868E-3</v>
      </c>
      <c r="G48" s="1">
        <v>45587</v>
      </c>
      <c r="H48">
        <v>427.51</v>
      </c>
      <c r="I48">
        <f t="shared" si="3"/>
        <v>2.0631957551925872E-2</v>
      </c>
      <c r="M48" s="1"/>
      <c r="N48" s="1">
        <v>45587</v>
      </c>
      <c r="O48">
        <v>582.01</v>
      </c>
      <c r="P48">
        <f t="shared" si="2"/>
        <v>1.1839366754870771E-2</v>
      </c>
      <c r="R48" t="s">
        <v>23</v>
      </c>
      <c r="S48" t="s">
        <v>69</v>
      </c>
      <c r="Z48" t="s">
        <v>43</v>
      </c>
      <c r="AA48">
        <f>AA42*AA45+AB42*AA46</f>
        <v>-254.05056255838088</v>
      </c>
      <c r="AB48">
        <f>AA48/(AA48+AA49)</f>
        <v>-0.26483922759875256</v>
      </c>
      <c r="AC48" s="3">
        <v>0</v>
      </c>
    </row>
    <row r="49" spans="1:30">
      <c r="A49" s="1">
        <v>45588</v>
      </c>
      <c r="B49">
        <v>230.76</v>
      </c>
      <c r="C49">
        <f t="shared" si="0"/>
        <v>-2.1860199273135369E-2</v>
      </c>
      <c r="G49" s="1">
        <v>45588</v>
      </c>
      <c r="H49">
        <v>424.6</v>
      </c>
      <c r="I49">
        <f t="shared" si="3"/>
        <v>-6.8301306469403964E-3</v>
      </c>
      <c r="M49" s="1"/>
      <c r="N49" s="1">
        <v>45588</v>
      </c>
      <c r="O49">
        <v>563.69000000000005</v>
      </c>
      <c r="P49">
        <f t="shared" si="2"/>
        <v>-3.1983174716824138E-2</v>
      </c>
      <c r="R49" s="12">
        <f>SQRT(R45)</f>
        <v>1.114965036507699E-2</v>
      </c>
      <c r="S49" s="12">
        <f>R49*SQRT(252)</f>
        <v>0.17699521242788543</v>
      </c>
      <c r="AA49">
        <f>AA43*AA45+AB43*AA46</f>
        <v>1213.3139045557486</v>
      </c>
      <c r="AB49">
        <f>AA49/(AA48+AA49)</f>
        <v>1.2648392275987526</v>
      </c>
      <c r="AC49" s="3">
        <v>1</v>
      </c>
    </row>
    <row r="50" spans="1:30">
      <c r="A50" s="1">
        <v>45589</v>
      </c>
      <c r="B50">
        <v>230.57</v>
      </c>
      <c r="C50">
        <f t="shared" si="0"/>
        <v>-8.2370542016678883E-4</v>
      </c>
      <c r="G50" s="1">
        <v>45589</v>
      </c>
      <c r="H50">
        <v>424.73</v>
      </c>
      <c r="I50">
        <f t="shared" si="3"/>
        <v>3.0612365279741416E-4</v>
      </c>
      <c r="M50" s="1"/>
      <c r="N50" s="1">
        <v>45589</v>
      </c>
      <c r="O50">
        <v>567.78</v>
      </c>
      <c r="P50">
        <f t="shared" si="2"/>
        <v>7.2295647506094834E-3</v>
      </c>
    </row>
    <row r="51" spans="1:30" ht="21">
      <c r="A51" s="1">
        <v>45590</v>
      </c>
      <c r="B51">
        <v>231.41</v>
      </c>
      <c r="C51">
        <f t="shared" si="0"/>
        <v>3.6365250690583951E-3</v>
      </c>
      <c r="G51" s="1">
        <v>45590</v>
      </c>
      <c r="H51">
        <v>428.15</v>
      </c>
      <c r="I51">
        <f t="shared" si="3"/>
        <v>8.0199285502477527E-3</v>
      </c>
      <c r="M51" s="1"/>
      <c r="N51" s="1">
        <v>45590</v>
      </c>
      <c r="O51">
        <v>573.25</v>
      </c>
      <c r="P51">
        <f t="shared" si="2"/>
        <v>9.5879019898175901E-3</v>
      </c>
      <c r="R51" s="43" t="s">
        <v>31</v>
      </c>
      <c r="S51" s="44"/>
      <c r="T51" s="44"/>
      <c r="U51" s="44"/>
      <c r="Z51" s="11" t="s">
        <v>45</v>
      </c>
      <c r="AA51" s="11">
        <f>AC48*AA34+AC49*AA35</f>
        <v>0.31919999999999998</v>
      </c>
      <c r="AB51" s="11"/>
    </row>
    <row r="52" spans="1:30">
      <c r="A52" s="1">
        <v>45593</v>
      </c>
      <c r="B52">
        <v>233.4</v>
      </c>
      <c r="C52">
        <f t="shared" si="0"/>
        <v>8.5626908148752033E-3</v>
      </c>
      <c r="G52" s="1">
        <v>45593</v>
      </c>
      <c r="H52">
        <v>426.59</v>
      </c>
      <c r="I52">
        <f t="shared" si="3"/>
        <v>-3.6502368723809321E-3</v>
      </c>
      <c r="M52" s="1"/>
      <c r="N52" s="1">
        <v>45593</v>
      </c>
      <c r="O52">
        <v>578.16</v>
      </c>
      <c r="P52">
        <f t="shared" si="2"/>
        <v>8.5287252367117952E-3</v>
      </c>
      <c r="Z52" t="s">
        <v>46</v>
      </c>
      <c r="AA52" s="2">
        <f>SQRT(AC48^2*AA39+AC49^2*AB40+2*AC48*AB52*AB39)*SQRT(252)</f>
        <v>0.24778204670144283</v>
      </c>
    </row>
    <row r="53" spans="1:30" ht="16" customHeight="1">
      <c r="A53" s="1">
        <v>45594</v>
      </c>
      <c r="B53">
        <v>233.67</v>
      </c>
      <c r="C53">
        <f t="shared" si="0"/>
        <v>1.1561437475111353E-3</v>
      </c>
      <c r="G53" s="1">
        <v>45594</v>
      </c>
      <c r="H53">
        <v>431.95</v>
      </c>
      <c r="I53">
        <f t="shared" si="3"/>
        <v>1.2486476205073024E-2</v>
      </c>
      <c r="M53" s="1"/>
      <c r="N53" s="1">
        <v>45594</v>
      </c>
      <c r="O53">
        <v>593.28</v>
      </c>
      <c r="P53">
        <f t="shared" si="2"/>
        <v>2.5815815962710129E-2</v>
      </c>
      <c r="R53" s="40" t="s">
        <v>25</v>
      </c>
      <c r="S53" s="40"/>
      <c r="T53" s="38">
        <v>4.2500000000000003E-2</v>
      </c>
      <c r="Z53" t="s">
        <v>47</v>
      </c>
      <c r="AA53" s="24">
        <f>(AA51-T53)/AA52</f>
        <v>1.1167072178292277</v>
      </c>
    </row>
    <row r="54" spans="1:30" ht="24" customHeight="1">
      <c r="A54" s="1">
        <v>45595</v>
      </c>
      <c r="B54">
        <v>230.1</v>
      </c>
      <c r="C54">
        <f t="shared" si="0"/>
        <v>-1.5395866558646653E-2</v>
      </c>
      <c r="G54" s="1">
        <v>45595</v>
      </c>
      <c r="H54">
        <v>432.53</v>
      </c>
      <c r="I54">
        <f t="shared" si="3"/>
        <v>1.3418473233082768E-3</v>
      </c>
      <c r="M54" s="1"/>
      <c r="N54" s="1">
        <v>45595</v>
      </c>
      <c r="O54">
        <v>591.79999999999995</v>
      </c>
      <c r="P54">
        <f t="shared" si="2"/>
        <v>-2.4977229713264363E-3</v>
      </c>
      <c r="R54" s="41">
        <v>45933</v>
      </c>
      <c r="S54" s="41"/>
      <c r="T54" s="39"/>
    </row>
    <row r="55" spans="1:30" ht="18" customHeight="1">
      <c r="A55" s="1">
        <v>45596</v>
      </c>
      <c r="B55">
        <v>225.91</v>
      </c>
      <c r="C55">
        <f t="shared" si="0"/>
        <v>-1.8377307172189244E-2</v>
      </c>
      <c r="G55" s="1">
        <v>45596</v>
      </c>
      <c r="H55">
        <v>406.35</v>
      </c>
      <c r="I55">
        <f t="shared" si="3"/>
        <v>-6.2436830928987566E-2</v>
      </c>
      <c r="M55" s="1"/>
      <c r="N55" s="1">
        <v>45596</v>
      </c>
      <c r="O55">
        <v>567.58000000000004</v>
      </c>
      <c r="P55">
        <f t="shared" si="2"/>
        <v>-4.1787031382774537E-2</v>
      </c>
      <c r="R55" s="37" t="s">
        <v>26</v>
      </c>
      <c r="S55" s="37"/>
      <c r="T55" s="39"/>
      <c r="Y55" s="42" t="s">
        <v>70</v>
      </c>
      <c r="Z55" s="42"/>
      <c r="AA55" s="42"/>
      <c r="AB55" s="42"/>
      <c r="AC55" s="42"/>
      <c r="AD55" s="42"/>
    </row>
    <row r="56" spans="1:30">
      <c r="A56" s="1">
        <v>45597</v>
      </c>
      <c r="B56">
        <v>222.91</v>
      </c>
      <c r="C56">
        <f t="shared" si="0"/>
        <v>-1.3368587316289905E-2</v>
      </c>
      <c r="G56" s="1">
        <v>45597</v>
      </c>
      <c r="H56">
        <v>410.37</v>
      </c>
      <c r="I56">
        <f t="shared" si="3"/>
        <v>9.8443345702487126E-3</v>
      </c>
      <c r="M56" s="1"/>
      <c r="N56" s="1">
        <v>45597</v>
      </c>
      <c r="O56">
        <v>567.16</v>
      </c>
      <c r="P56">
        <f t="shared" si="2"/>
        <v>-7.4025771397754161E-4</v>
      </c>
    </row>
    <row r="57" spans="1:30" ht="21">
      <c r="A57" s="1">
        <v>45600</v>
      </c>
      <c r="B57">
        <v>222.01</v>
      </c>
      <c r="C57">
        <f t="shared" si="0"/>
        <v>-4.0456766500141109E-3</v>
      </c>
      <c r="G57" s="1">
        <v>45600</v>
      </c>
      <c r="H57">
        <v>408.46</v>
      </c>
      <c r="I57">
        <f t="shared" si="3"/>
        <v>-4.6652014804508526E-3</v>
      </c>
      <c r="M57" s="1"/>
      <c r="N57" s="1">
        <v>45600</v>
      </c>
      <c r="O57">
        <v>560.67999999999995</v>
      </c>
      <c r="P57">
        <f t="shared" si="2"/>
        <v>-1.1491118074500286E-2</v>
      </c>
      <c r="R57" s="36"/>
      <c r="S57" s="36"/>
      <c r="T57" s="36"/>
      <c r="U57" s="36"/>
      <c r="Z57" t="s">
        <v>48</v>
      </c>
      <c r="AA57" t="s">
        <v>49</v>
      </c>
      <c r="AB57" t="s">
        <v>20</v>
      </c>
    </row>
    <row r="58" spans="1:30">
      <c r="A58" s="1">
        <v>45601</v>
      </c>
      <c r="B58">
        <v>223.45</v>
      </c>
      <c r="C58">
        <f t="shared" si="0"/>
        <v>6.4652494766336294E-3</v>
      </c>
      <c r="G58" s="1">
        <v>45601</v>
      </c>
      <c r="H58">
        <v>411.46</v>
      </c>
      <c r="I58">
        <f t="shared" si="3"/>
        <v>7.3178197570728321E-3</v>
      </c>
      <c r="M58" s="1"/>
      <c r="N58" s="1">
        <v>45601</v>
      </c>
      <c r="O58">
        <v>572.42999999999995</v>
      </c>
      <c r="P58">
        <f t="shared" si="2"/>
        <v>2.0740124415503054E-2</v>
      </c>
      <c r="Z58" s="11">
        <v>0</v>
      </c>
      <c r="AA58" s="11">
        <v>1</v>
      </c>
      <c r="AB58" s="11">
        <f>SUM(Z58+AA58)</f>
        <v>1</v>
      </c>
    </row>
    <row r="59" spans="1:30">
      <c r="A59" s="1">
        <v>45602</v>
      </c>
      <c r="B59">
        <v>222.72</v>
      </c>
      <c r="C59">
        <f t="shared" si="0"/>
        <v>-3.2722982334056835E-3</v>
      </c>
      <c r="G59" s="1">
        <v>45602</v>
      </c>
      <c r="H59">
        <v>420.18</v>
      </c>
      <c r="I59">
        <f t="shared" si="3"/>
        <v>2.0971380849396815E-2</v>
      </c>
      <c r="M59" s="1"/>
      <c r="N59" s="1">
        <v>45602</v>
      </c>
      <c r="O59">
        <v>572.04999999999995</v>
      </c>
      <c r="P59">
        <f t="shared" si="2"/>
        <v>-6.6405706340718002E-4</v>
      </c>
    </row>
    <row r="60" spans="1:30">
      <c r="A60" s="1">
        <v>45603</v>
      </c>
      <c r="B60">
        <v>227.48</v>
      </c>
      <c r="C60">
        <f t="shared" si="0"/>
        <v>2.1146945292544149E-2</v>
      </c>
      <c r="G60" s="1">
        <v>45603</v>
      </c>
      <c r="H60">
        <v>425.43</v>
      </c>
      <c r="I60">
        <f t="shared" si="3"/>
        <v>1.2417231245883099E-2</v>
      </c>
      <c r="M60" s="1"/>
      <c r="N60" s="1">
        <v>45603</v>
      </c>
      <c r="O60">
        <v>591.70000000000005</v>
      </c>
      <c r="P60">
        <f t="shared" si="2"/>
        <v>3.3773349535695593E-2</v>
      </c>
      <c r="R60" s="22"/>
      <c r="Z60" t="s">
        <v>21</v>
      </c>
      <c r="AA60">
        <f>Z58^2*AA39+AA58^2*AB40+2*Z58*AA58*AB39</f>
        <v>2.4363469312522221E-4</v>
      </c>
    </row>
    <row r="61" spans="1:30">
      <c r="A61" s="1">
        <v>45604</v>
      </c>
      <c r="B61">
        <v>226.96</v>
      </c>
      <c r="C61">
        <f t="shared" si="0"/>
        <v>-2.2885319380029265E-3</v>
      </c>
      <c r="G61" s="1">
        <v>45604</v>
      </c>
      <c r="H61">
        <v>422.54</v>
      </c>
      <c r="I61">
        <f t="shared" si="3"/>
        <v>-6.8163052692757501E-3</v>
      </c>
      <c r="M61" s="1"/>
      <c r="N61" s="1">
        <v>45604</v>
      </c>
      <c r="O61">
        <v>589.34</v>
      </c>
      <c r="P61">
        <f t="shared" si="2"/>
        <v>-3.9964829999573868E-3</v>
      </c>
      <c r="Z61" t="s">
        <v>50</v>
      </c>
      <c r="AA61" s="23">
        <f>Z58*F11+AA58*S13</f>
        <v>2.2794720467020817E-3</v>
      </c>
    </row>
    <row r="62" spans="1:30">
      <c r="A62" s="1">
        <v>45607</v>
      </c>
      <c r="B62">
        <v>224.23</v>
      </c>
      <c r="C62">
        <f t="shared" si="0"/>
        <v>-1.2101479715156712E-2</v>
      </c>
      <c r="G62" s="1">
        <v>45607</v>
      </c>
      <c r="H62">
        <v>418.01</v>
      </c>
      <c r="I62">
        <f t="shared" si="3"/>
        <v>-1.0778761188517328E-2</v>
      </c>
      <c r="M62" s="1"/>
      <c r="N62" s="1">
        <v>45607</v>
      </c>
      <c r="O62">
        <v>583.16999999999996</v>
      </c>
      <c r="P62">
        <f t="shared" si="2"/>
        <v>-1.0524527640559894E-2</v>
      </c>
      <c r="Z62" t="s">
        <v>51</v>
      </c>
      <c r="AA62">
        <f>SQRT(AA60)</f>
        <v>1.5608801783776428E-2</v>
      </c>
    </row>
    <row r="63" spans="1:30">
      <c r="A63" s="1">
        <v>45608</v>
      </c>
      <c r="B63">
        <v>224.23</v>
      </c>
      <c r="C63">
        <f t="shared" si="0"/>
        <v>0</v>
      </c>
      <c r="G63" s="1">
        <v>45608</v>
      </c>
      <c r="H63">
        <v>423.03</v>
      </c>
      <c r="I63">
        <f t="shared" si="3"/>
        <v>1.1937742833676979E-2</v>
      </c>
      <c r="M63" s="1"/>
      <c r="N63" s="1">
        <v>45608</v>
      </c>
      <c r="O63">
        <v>584.82000000000005</v>
      </c>
      <c r="P63">
        <f t="shared" si="2"/>
        <v>2.825368535042679E-3</v>
      </c>
      <c r="Z63" t="s">
        <v>52</v>
      </c>
      <c r="AA63">
        <f>AA61*252</f>
        <v>0.57442695576892455</v>
      </c>
    </row>
    <row r="64" spans="1:30">
      <c r="A64" s="1">
        <v>45609</v>
      </c>
      <c r="B64">
        <v>225.12</v>
      </c>
      <c r="C64">
        <f t="shared" si="0"/>
        <v>3.9612825806397481E-3</v>
      </c>
      <c r="G64" s="1">
        <v>45609</v>
      </c>
      <c r="H64">
        <v>425.2</v>
      </c>
      <c r="I64">
        <f t="shared" si="3"/>
        <v>5.1165479505444512E-3</v>
      </c>
      <c r="M64" s="1"/>
      <c r="N64" s="1">
        <v>45609</v>
      </c>
      <c r="O64">
        <v>580</v>
      </c>
      <c r="P64">
        <f t="shared" si="2"/>
        <v>-8.2760040367087385E-3</v>
      </c>
      <c r="Z64" t="s">
        <v>53</v>
      </c>
      <c r="AA64">
        <f>AA62*SQRT(252)</f>
        <v>0.24778204670144283</v>
      </c>
    </row>
    <row r="65" spans="1:16">
      <c r="A65" s="1">
        <v>45610</v>
      </c>
      <c r="B65">
        <v>228.22</v>
      </c>
      <c r="C65">
        <f t="shared" si="0"/>
        <v>1.3676482640454679E-2</v>
      </c>
      <c r="G65" s="1">
        <v>45610</v>
      </c>
      <c r="H65">
        <v>426.89</v>
      </c>
      <c r="I65">
        <f t="shared" si="3"/>
        <v>3.9667223321382299E-3</v>
      </c>
      <c r="M65" s="1"/>
      <c r="N65" s="1">
        <v>45610</v>
      </c>
      <c r="O65">
        <v>577.16</v>
      </c>
      <c r="P65">
        <f t="shared" si="2"/>
        <v>-4.9085791114100415E-3</v>
      </c>
    </row>
    <row r="66" spans="1:16">
      <c r="A66" s="1">
        <v>45611</v>
      </c>
      <c r="B66">
        <v>225</v>
      </c>
      <c r="C66">
        <f t="shared" si="0"/>
        <v>-1.4209673802113448E-2</v>
      </c>
      <c r="G66" s="1">
        <v>45611</v>
      </c>
      <c r="H66">
        <v>415</v>
      </c>
      <c r="I66">
        <f t="shared" si="3"/>
        <v>-2.8247848569232886E-2</v>
      </c>
      <c r="M66" s="1"/>
      <c r="N66" s="1">
        <v>45611</v>
      </c>
      <c r="O66">
        <v>554.08000000000004</v>
      </c>
      <c r="P66">
        <f t="shared" si="2"/>
        <v>-4.0810443774943021E-2</v>
      </c>
    </row>
    <row r="67" spans="1:16">
      <c r="A67" s="1">
        <v>45614</v>
      </c>
      <c r="B67">
        <v>228.02</v>
      </c>
      <c r="C67">
        <f t="shared" si="0"/>
        <v>1.3332942201153587E-2</v>
      </c>
      <c r="G67" s="1">
        <v>45614</v>
      </c>
      <c r="H67">
        <v>415.76</v>
      </c>
      <c r="I67">
        <f t="shared" si="3"/>
        <v>1.8296504694880775E-3</v>
      </c>
      <c r="M67" s="1"/>
      <c r="N67" s="1">
        <v>45614</v>
      </c>
      <c r="O67">
        <v>554.4</v>
      </c>
      <c r="P67">
        <f t="shared" si="2"/>
        <v>5.7736722158164059E-4</v>
      </c>
    </row>
    <row r="68" spans="1:16">
      <c r="A68" s="1">
        <v>45615</v>
      </c>
      <c r="B68">
        <v>228.28</v>
      </c>
      <c r="C68">
        <f t="shared" si="0"/>
        <v>1.1396012629335743E-3</v>
      </c>
      <c r="G68" s="1">
        <v>45615</v>
      </c>
      <c r="H68">
        <v>417.79</v>
      </c>
      <c r="I68">
        <f t="shared" si="3"/>
        <v>4.8707432387547949E-3</v>
      </c>
      <c r="M68" s="1"/>
      <c r="N68" s="1">
        <v>45615</v>
      </c>
      <c r="O68">
        <v>561.09</v>
      </c>
      <c r="P68">
        <f t="shared" si="2"/>
        <v>1.1994872587325069E-2</v>
      </c>
    </row>
    <row r="69" spans="1:16">
      <c r="A69" s="1">
        <v>45616</v>
      </c>
      <c r="B69">
        <v>229</v>
      </c>
      <c r="C69">
        <f t="shared" ref="C69:C129" si="4">LN(B69/B68)</f>
        <v>3.1490578857323766E-3</v>
      </c>
      <c r="G69" s="1">
        <v>45616</v>
      </c>
      <c r="H69">
        <v>415.49</v>
      </c>
      <c r="I69">
        <f t="shared" si="3"/>
        <v>-5.5203673217509306E-3</v>
      </c>
      <c r="M69" s="1"/>
      <c r="N69" s="1">
        <v>45616</v>
      </c>
      <c r="O69">
        <v>565.52</v>
      </c>
      <c r="P69">
        <f t="shared" ref="P69:P129" si="5">LN(O69/O68)</f>
        <v>7.8643413996802407E-3</v>
      </c>
    </row>
    <row r="70" spans="1:16">
      <c r="A70" s="1">
        <v>45617</v>
      </c>
      <c r="B70">
        <v>228.52</v>
      </c>
      <c r="C70">
        <f t="shared" si="4"/>
        <v>-2.0982696979778065E-3</v>
      </c>
      <c r="G70" s="1">
        <v>45617</v>
      </c>
      <c r="H70">
        <v>412.87</v>
      </c>
      <c r="I70">
        <f t="shared" si="3"/>
        <v>-6.3257731824115397E-3</v>
      </c>
      <c r="M70" s="1"/>
      <c r="N70" s="1">
        <v>45617</v>
      </c>
      <c r="O70">
        <v>563.09</v>
      </c>
      <c r="P70">
        <f t="shared" si="5"/>
        <v>-4.3061885948360717E-3</v>
      </c>
    </row>
    <row r="71" spans="1:16">
      <c r="A71" s="1">
        <v>45618</v>
      </c>
      <c r="B71">
        <v>229.87</v>
      </c>
      <c r="C71">
        <f t="shared" si="4"/>
        <v>5.890197880063815E-3</v>
      </c>
      <c r="G71" s="1">
        <v>45618</v>
      </c>
      <c r="H71">
        <v>417</v>
      </c>
      <c r="I71">
        <f t="shared" ref="I71:I129" si="6">LN(H71/H70)</f>
        <v>9.9534483640226559E-3</v>
      </c>
      <c r="M71" s="1"/>
      <c r="N71" s="1">
        <v>45618</v>
      </c>
      <c r="O71">
        <v>559.14</v>
      </c>
      <c r="P71">
        <f t="shared" si="5"/>
        <v>-7.0395842422433944E-3</v>
      </c>
    </row>
    <row r="72" spans="1:16">
      <c r="A72" s="1">
        <v>45621</v>
      </c>
      <c r="B72">
        <v>232.87</v>
      </c>
      <c r="C72">
        <f t="shared" si="4"/>
        <v>1.2966426208818584E-2</v>
      </c>
      <c r="G72" s="1">
        <v>45621</v>
      </c>
      <c r="H72">
        <v>418.79</v>
      </c>
      <c r="I72">
        <f t="shared" si="6"/>
        <v>4.2833791665618029E-3</v>
      </c>
      <c r="M72" s="1"/>
      <c r="N72" s="1">
        <v>45621</v>
      </c>
      <c r="O72">
        <v>565.11</v>
      </c>
      <c r="P72">
        <f t="shared" si="5"/>
        <v>1.0620513436618361E-2</v>
      </c>
    </row>
    <row r="73" spans="1:16">
      <c r="A73" s="1">
        <v>45622</v>
      </c>
      <c r="B73">
        <v>235.06</v>
      </c>
      <c r="C73">
        <f t="shared" si="4"/>
        <v>9.3604427595636724E-3</v>
      </c>
      <c r="G73" s="1">
        <v>45622</v>
      </c>
      <c r="H73">
        <v>427.99</v>
      </c>
      <c r="I73">
        <f t="shared" si="6"/>
        <v>2.1730229857498513E-2</v>
      </c>
      <c r="M73" s="1"/>
      <c r="N73" s="1">
        <v>45622</v>
      </c>
      <c r="O73">
        <v>573.54</v>
      </c>
      <c r="P73">
        <f t="shared" si="5"/>
        <v>1.4807278841488754E-2</v>
      </c>
    </row>
    <row r="74" spans="1:16">
      <c r="A74" s="1">
        <v>45623</v>
      </c>
      <c r="B74">
        <v>234.93</v>
      </c>
      <c r="C74">
        <f t="shared" si="4"/>
        <v>-5.5320327375206512E-4</v>
      </c>
      <c r="G74" s="1">
        <v>45623</v>
      </c>
      <c r="H74">
        <v>422.99</v>
      </c>
      <c r="I74">
        <f t="shared" si="6"/>
        <v>-1.1751292717967056E-2</v>
      </c>
      <c r="M74" s="1"/>
      <c r="N74" s="1">
        <v>45623</v>
      </c>
      <c r="O74">
        <v>569.20000000000005</v>
      </c>
      <c r="P74">
        <f t="shared" si="5"/>
        <v>-7.5958150880287402E-3</v>
      </c>
    </row>
    <row r="75" spans="1:16">
      <c r="A75" s="1">
        <v>45625</v>
      </c>
      <c r="B75">
        <v>237.33</v>
      </c>
      <c r="C75">
        <f t="shared" si="4"/>
        <v>1.0163980270458799E-2</v>
      </c>
      <c r="G75" s="1">
        <v>45625</v>
      </c>
      <c r="H75">
        <v>423.46</v>
      </c>
      <c r="I75">
        <f t="shared" si="6"/>
        <v>1.1105205228955624E-3</v>
      </c>
      <c r="M75" s="1"/>
      <c r="N75" s="1">
        <v>45625</v>
      </c>
      <c r="O75">
        <v>574.32000000000005</v>
      </c>
      <c r="P75">
        <f t="shared" si="5"/>
        <v>8.954866052530373E-3</v>
      </c>
    </row>
    <row r="76" spans="1:16">
      <c r="A76" s="1">
        <v>45628</v>
      </c>
      <c r="B76">
        <v>239.59</v>
      </c>
      <c r="C76">
        <f t="shared" si="4"/>
        <v>9.477551441854002E-3</v>
      </c>
      <c r="G76" s="1">
        <v>45628</v>
      </c>
      <c r="H76">
        <v>430.98</v>
      </c>
      <c r="I76">
        <f t="shared" si="6"/>
        <v>1.760262668697498E-2</v>
      </c>
      <c r="M76" s="1"/>
      <c r="N76" s="1">
        <v>45628</v>
      </c>
      <c r="O76">
        <v>592.83000000000004</v>
      </c>
      <c r="P76">
        <f t="shared" si="5"/>
        <v>3.1720947720593397E-2</v>
      </c>
    </row>
    <row r="77" spans="1:16">
      <c r="A77" s="1">
        <v>45629</v>
      </c>
      <c r="B77">
        <v>242.65</v>
      </c>
      <c r="C77">
        <f t="shared" si="4"/>
        <v>1.269094670795666E-2</v>
      </c>
      <c r="G77" s="1">
        <v>45629</v>
      </c>
      <c r="H77">
        <v>431.2</v>
      </c>
      <c r="I77">
        <f t="shared" si="6"/>
        <v>5.103342800221258E-4</v>
      </c>
      <c r="M77" s="1"/>
      <c r="N77" s="1">
        <v>45629</v>
      </c>
      <c r="O77">
        <v>613.65</v>
      </c>
      <c r="P77">
        <f t="shared" si="5"/>
        <v>3.4517053054696281E-2</v>
      </c>
    </row>
    <row r="78" spans="1:16">
      <c r="A78" s="1">
        <v>45630</v>
      </c>
      <c r="B78">
        <v>243.01</v>
      </c>
      <c r="C78">
        <f t="shared" si="4"/>
        <v>1.4825189059665656E-3</v>
      </c>
      <c r="G78" s="1">
        <v>45630</v>
      </c>
      <c r="H78">
        <v>437.42</v>
      </c>
      <c r="I78">
        <f t="shared" si="6"/>
        <v>1.432181233961893E-2</v>
      </c>
      <c r="M78" s="1"/>
      <c r="N78" s="1">
        <v>45630</v>
      </c>
      <c r="O78">
        <v>613.78</v>
      </c>
      <c r="P78">
        <f t="shared" si="5"/>
        <v>2.1182470769990158E-4</v>
      </c>
    </row>
    <row r="79" spans="1:16">
      <c r="A79" s="1">
        <v>45631</v>
      </c>
      <c r="B79">
        <v>243.04</v>
      </c>
      <c r="C79">
        <f t="shared" si="4"/>
        <v>1.2344409027086238E-4</v>
      </c>
      <c r="G79" s="1">
        <v>45631</v>
      </c>
      <c r="H79">
        <v>442.62</v>
      </c>
      <c r="I79">
        <f t="shared" si="6"/>
        <v>1.1817782189859459E-2</v>
      </c>
      <c r="M79" s="1"/>
      <c r="N79" s="1">
        <v>45631</v>
      </c>
      <c r="O79">
        <v>608.92999999999995</v>
      </c>
      <c r="P79">
        <f t="shared" si="5"/>
        <v>-7.9332391764546269E-3</v>
      </c>
    </row>
    <row r="80" spans="1:16">
      <c r="A80" s="1">
        <v>45632</v>
      </c>
      <c r="B80">
        <v>242.84</v>
      </c>
      <c r="C80">
        <f t="shared" si="4"/>
        <v>-8.2324858522934052E-4</v>
      </c>
      <c r="G80" s="1">
        <v>45632</v>
      </c>
      <c r="H80">
        <v>443.57</v>
      </c>
      <c r="I80">
        <f t="shared" si="6"/>
        <v>2.1440105708975103E-3</v>
      </c>
      <c r="M80" s="1"/>
      <c r="N80" s="1">
        <v>45632</v>
      </c>
      <c r="O80">
        <v>623.77</v>
      </c>
      <c r="P80">
        <f t="shared" si="5"/>
        <v>2.4078392105179123E-2</v>
      </c>
    </row>
    <row r="81" spans="1:16">
      <c r="A81" s="1">
        <v>45635</v>
      </c>
      <c r="B81">
        <v>246.75</v>
      </c>
      <c r="C81">
        <f t="shared" si="4"/>
        <v>1.5972888051357558E-2</v>
      </c>
      <c r="G81" s="1">
        <v>45635</v>
      </c>
      <c r="H81">
        <v>446.02</v>
      </c>
      <c r="I81">
        <f t="shared" si="6"/>
        <v>5.5081693688085664E-3</v>
      </c>
      <c r="M81" s="1"/>
      <c r="N81" s="1">
        <v>45635</v>
      </c>
      <c r="O81">
        <v>613.57000000000005</v>
      </c>
      <c r="P81">
        <f t="shared" si="5"/>
        <v>-1.6487353608317438E-2</v>
      </c>
    </row>
    <row r="82" spans="1:16">
      <c r="A82" s="1">
        <v>45636</v>
      </c>
      <c r="B82">
        <v>247.77</v>
      </c>
      <c r="C82">
        <f t="shared" si="4"/>
        <v>4.1252181771443009E-3</v>
      </c>
      <c r="G82" s="1">
        <v>45636</v>
      </c>
      <c r="H82">
        <v>443.33</v>
      </c>
      <c r="I82">
        <f t="shared" si="6"/>
        <v>-6.0493803415409345E-3</v>
      </c>
      <c r="M82" s="1"/>
      <c r="N82" s="1">
        <v>45636</v>
      </c>
      <c r="O82">
        <v>619.32000000000005</v>
      </c>
      <c r="P82">
        <f t="shared" si="5"/>
        <v>9.3277448770118787E-3</v>
      </c>
    </row>
    <row r="83" spans="1:16">
      <c r="A83" s="1">
        <v>45637</v>
      </c>
      <c r="B83">
        <v>246.49</v>
      </c>
      <c r="C83">
        <f t="shared" si="4"/>
        <v>-5.1794717822105452E-3</v>
      </c>
      <c r="G83" s="1">
        <v>45637</v>
      </c>
      <c r="H83">
        <v>448.99</v>
      </c>
      <c r="I83">
        <f t="shared" si="6"/>
        <v>1.2686202056882959E-2</v>
      </c>
      <c r="M83" s="1"/>
      <c r="N83" s="1">
        <v>45637</v>
      </c>
      <c r="O83">
        <v>632.67999999999995</v>
      </c>
      <c r="P83">
        <f t="shared" si="5"/>
        <v>2.1342663146651786E-2</v>
      </c>
    </row>
    <row r="84" spans="1:16">
      <c r="A84" s="1">
        <v>45638</v>
      </c>
      <c r="B84">
        <v>247.96</v>
      </c>
      <c r="C84">
        <f t="shared" si="4"/>
        <v>5.9460181251939897E-3</v>
      </c>
      <c r="G84" s="1">
        <v>45638</v>
      </c>
      <c r="H84">
        <v>449.56</v>
      </c>
      <c r="I84">
        <f t="shared" si="6"/>
        <v>1.2687108707523317E-3</v>
      </c>
      <c r="M84" s="1"/>
      <c r="N84" s="1">
        <v>45638</v>
      </c>
      <c r="O84">
        <v>630.79</v>
      </c>
      <c r="P84">
        <f t="shared" si="5"/>
        <v>-2.9917630172881403E-3</v>
      </c>
    </row>
    <row r="85" spans="1:16">
      <c r="A85" s="1">
        <v>45639</v>
      </c>
      <c r="B85">
        <v>248.13</v>
      </c>
      <c r="C85">
        <f t="shared" si="4"/>
        <v>6.8535953820605803E-4</v>
      </c>
      <c r="G85" s="1">
        <v>45639</v>
      </c>
      <c r="H85">
        <v>447.27</v>
      </c>
      <c r="I85">
        <f t="shared" si="6"/>
        <v>-5.106887541648961E-3</v>
      </c>
      <c r="M85" s="1"/>
      <c r="N85" s="1">
        <v>45639</v>
      </c>
      <c r="O85">
        <v>620.35</v>
      </c>
      <c r="P85">
        <f t="shared" si="5"/>
        <v>-1.6689167189119277E-2</v>
      </c>
    </row>
    <row r="86" spans="1:16">
      <c r="A86" s="1">
        <v>45642</v>
      </c>
      <c r="B86">
        <v>251.04</v>
      </c>
      <c r="C86">
        <f t="shared" si="4"/>
        <v>1.1659486612797755E-2</v>
      </c>
      <c r="G86" s="1">
        <v>45642</v>
      </c>
      <c r="H86">
        <v>451.59</v>
      </c>
      <c r="I86">
        <f t="shared" si="6"/>
        <v>9.6122494321048465E-3</v>
      </c>
      <c r="M86" s="1"/>
      <c r="N86" s="1">
        <v>45642</v>
      </c>
      <c r="O86">
        <v>624.24</v>
      </c>
      <c r="P86">
        <f t="shared" si="5"/>
        <v>6.2510749196252853E-3</v>
      </c>
    </row>
    <row r="87" spans="1:16">
      <c r="A87" s="1">
        <v>45643</v>
      </c>
      <c r="B87">
        <v>253.48</v>
      </c>
      <c r="C87">
        <f t="shared" si="4"/>
        <v>9.6726354705936723E-3</v>
      </c>
      <c r="G87" s="1">
        <v>45643</v>
      </c>
      <c r="H87">
        <v>454.46</v>
      </c>
      <c r="I87">
        <f t="shared" si="6"/>
        <v>6.3352124031293821E-3</v>
      </c>
      <c r="M87" s="1"/>
      <c r="N87" s="1">
        <v>45643</v>
      </c>
      <c r="O87">
        <v>619.44000000000005</v>
      </c>
      <c r="P87">
        <f t="shared" si="5"/>
        <v>-7.7190657300375979E-3</v>
      </c>
    </row>
    <row r="88" spans="1:16">
      <c r="A88" s="1">
        <v>45644</v>
      </c>
      <c r="B88">
        <v>248.05</v>
      </c>
      <c r="C88">
        <f t="shared" si="4"/>
        <v>-2.1654585708258262E-2</v>
      </c>
      <c r="G88" s="1">
        <v>45644</v>
      </c>
      <c r="H88">
        <v>437.39</v>
      </c>
      <c r="I88">
        <f t="shared" si="6"/>
        <v>-3.8284655330873545E-2</v>
      </c>
      <c r="M88" s="1"/>
      <c r="N88" s="1">
        <v>45644</v>
      </c>
      <c r="O88">
        <v>597.19000000000005</v>
      </c>
      <c r="P88">
        <f t="shared" si="5"/>
        <v>-3.6580523362737878E-2</v>
      </c>
    </row>
    <row r="89" spans="1:16">
      <c r="A89" s="1">
        <v>45645</v>
      </c>
      <c r="B89">
        <v>249.79</v>
      </c>
      <c r="C89">
        <f t="shared" si="4"/>
        <v>6.9902261174959015E-3</v>
      </c>
      <c r="G89" s="1">
        <v>45645</v>
      </c>
      <c r="H89">
        <v>437.03</v>
      </c>
      <c r="I89">
        <f t="shared" si="6"/>
        <v>-8.2340298790001861E-4</v>
      </c>
      <c r="M89" s="1"/>
      <c r="N89" s="1">
        <v>45645</v>
      </c>
      <c r="O89">
        <v>595.57000000000005</v>
      </c>
      <c r="P89">
        <f t="shared" si="5"/>
        <v>-2.7163905498756545E-3</v>
      </c>
    </row>
    <row r="90" spans="1:16">
      <c r="A90" s="1">
        <v>45646</v>
      </c>
      <c r="B90">
        <v>254.49</v>
      </c>
      <c r="C90">
        <f t="shared" si="4"/>
        <v>1.8640977623199214E-2</v>
      </c>
      <c r="G90" s="1">
        <v>45646</v>
      </c>
      <c r="H90">
        <v>436.6</v>
      </c>
      <c r="I90">
        <f t="shared" si="6"/>
        <v>-9.8439850903452616E-4</v>
      </c>
      <c r="M90" s="1"/>
      <c r="N90" s="1">
        <v>45646</v>
      </c>
      <c r="O90">
        <v>585.25</v>
      </c>
      <c r="P90">
        <f t="shared" si="5"/>
        <v>-1.7479823794834554E-2</v>
      </c>
    </row>
    <row r="91" spans="1:16">
      <c r="A91" s="1">
        <v>45649</v>
      </c>
      <c r="B91">
        <v>255.27</v>
      </c>
      <c r="C91">
        <f t="shared" si="4"/>
        <v>3.0602660418225774E-3</v>
      </c>
      <c r="G91" s="1">
        <v>45649</v>
      </c>
      <c r="H91">
        <v>435.25</v>
      </c>
      <c r="I91">
        <f t="shared" si="6"/>
        <v>-3.0968654675452034E-3</v>
      </c>
      <c r="M91" s="1"/>
      <c r="N91" s="1">
        <v>45649</v>
      </c>
      <c r="O91">
        <v>599.85</v>
      </c>
      <c r="P91">
        <f t="shared" si="5"/>
        <v>2.4640517589916939E-2</v>
      </c>
    </row>
    <row r="92" spans="1:16">
      <c r="A92" s="1">
        <v>45650</v>
      </c>
      <c r="B92">
        <v>258.2</v>
      </c>
      <c r="C92">
        <f t="shared" si="4"/>
        <v>1.1412669882966294E-2</v>
      </c>
      <c r="G92" s="1">
        <v>45650</v>
      </c>
      <c r="H92">
        <v>439.33</v>
      </c>
      <c r="I92">
        <f t="shared" si="6"/>
        <v>9.3302604638468636E-3</v>
      </c>
      <c r="M92" s="1"/>
      <c r="N92" s="1">
        <v>45650</v>
      </c>
      <c r="O92">
        <v>607.75</v>
      </c>
      <c r="P92">
        <f t="shared" si="5"/>
        <v>1.3083989235295704E-2</v>
      </c>
    </row>
    <row r="93" spans="1:16">
      <c r="A93" s="1">
        <v>45652</v>
      </c>
      <c r="B93">
        <v>259.02</v>
      </c>
      <c r="C93">
        <f t="shared" si="4"/>
        <v>3.1708003828989626E-3</v>
      </c>
      <c r="G93" s="1">
        <v>45652</v>
      </c>
      <c r="H93">
        <v>438.11</v>
      </c>
      <c r="I93">
        <f t="shared" si="6"/>
        <v>-2.780818713948305E-3</v>
      </c>
      <c r="M93" s="1"/>
      <c r="N93" s="1">
        <v>45652</v>
      </c>
      <c r="O93">
        <v>603.35</v>
      </c>
      <c r="P93">
        <f t="shared" si="5"/>
        <v>-7.2661536766229192E-3</v>
      </c>
    </row>
    <row r="94" spans="1:16">
      <c r="A94" s="1">
        <v>45653</v>
      </c>
      <c r="B94">
        <v>255.59</v>
      </c>
      <c r="C94">
        <f>LN(B94/B93)</f>
        <v>-1.3330680688083499E-2</v>
      </c>
      <c r="G94" s="1">
        <v>45653</v>
      </c>
      <c r="H94">
        <v>430.53</v>
      </c>
      <c r="I94">
        <f t="shared" si="6"/>
        <v>-1.7453012547246734E-2</v>
      </c>
      <c r="M94" s="1"/>
      <c r="N94" s="1">
        <v>45653</v>
      </c>
      <c r="O94">
        <v>599.80999999999995</v>
      </c>
      <c r="P94">
        <f t="shared" si="5"/>
        <v>-5.8845211196064517E-3</v>
      </c>
    </row>
    <row r="95" spans="1:16">
      <c r="A95" s="1">
        <v>45656</v>
      </c>
      <c r="B95">
        <v>252.2</v>
      </c>
      <c r="C95">
        <f t="shared" si="4"/>
        <v>-1.3352174576538492E-2</v>
      </c>
      <c r="G95" s="1">
        <v>45656</v>
      </c>
      <c r="H95">
        <v>424.83</v>
      </c>
      <c r="I95">
        <f t="shared" si="6"/>
        <v>-1.3327918947873099E-2</v>
      </c>
      <c r="M95" s="1"/>
      <c r="N95" s="1">
        <v>45656</v>
      </c>
      <c r="O95">
        <v>591.24</v>
      </c>
      <c r="P95">
        <f t="shared" si="5"/>
        <v>-1.439091205613131E-2</v>
      </c>
    </row>
    <row r="96" spans="1:16">
      <c r="A96" s="1">
        <v>45657</v>
      </c>
      <c r="B96">
        <v>250.42</v>
      </c>
      <c r="C96">
        <f t="shared" si="4"/>
        <v>-7.0829152900175382E-3</v>
      </c>
      <c r="G96" s="1">
        <v>45657</v>
      </c>
      <c r="H96">
        <v>421.5</v>
      </c>
      <c r="I96">
        <f t="shared" si="6"/>
        <v>-7.8693114611669106E-3</v>
      </c>
      <c r="M96" s="1"/>
      <c r="N96" s="1">
        <v>45657</v>
      </c>
      <c r="O96">
        <v>585.51</v>
      </c>
      <c r="P96">
        <f t="shared" si="5"/>
        <v>-9.7387640326518816E-3</v>
      </c>
    </row>
    <row r="97" spans="1:16">
      <c r="A97" s="1">
        <v>45659</v>
      </c>
      <c r="B97">
        <v>243.85</v>
      </c>
      <c r="C97">
        <f t="shared" si="4"/>
        <v>-2.6586226084739983E-2</v>
      </c>
      <c r="G97" s="1">
        <v>45659</v>
      </c>
      <c r="H97">
        <v>418.58</v>
      </c>
      <c r="I97">
        <f t="shared" si="6"/>
        <v>-6.9517468800784493E-3</v>
      </c>
      <c r="M97" s="1"/>
      <c r="N97" s="1">
        <v>45659</v>
      </c>
      <c r="O97">
        <v>599.24</v>
      </c>
      <c r="P97">
        <f t="shared" si="5"/>
        <v>2.3178923337960938E-2</v>
      </c>
    </row>
    <row r="98" spans="1:16">
      <c r="A98" s="1">
        <v>45660</v>
      </c>
      <c r="B98">
        <v>243.36</v>
      </c>
      <c r="C98">
        <f t="shared" si="4"/>
        <v>-2.0114536450788353E-3</v>
      </c>
      <c r="G98" s="1">
        <v>45660</v>
      </c>
      <c r="H98">
        <v>423.35</v>
      </c>
      <c r="I98">
        <f t="shared" si="6"/>
        <v>1.1331229526454522E-2</v>
      </c>
      <c r="M98" s="1"/>
      <c r="N98" s="1">
        <v>45660</v>
      </c>
      <c r="O98">
        <v>604.63</v>
      </c>
      <c r="P98">
        <f t="shared" si="5"/>
        <v>8.9545150483611152E-3</v>
      </c>
    </row>
    <row r="99" spans="1:16">
      <c r="A99" s="1">
        <v>45663</v>
      </c>
      <c r="B99">
        <v>245</v>
      </c>
      <c r="C99">
        <f t="shared" si="4"/>
        <v>6.7163820337442027E-3</v>
      </c>
      <c r="G99" s="1">
        <v>45663</v>
      </c>
      <c r="H99">
        <v>427.85</v>
      </c>
      <c r="I99">
        <f t="shared" si="6"/>
        <v>1.057340677577758E-2</v>
      </c>
      <c r="M99" s="1"/>
      <c r="N99" s="1">
        <v>45663</v>
      </c>
      <c r="O99">
        <v>630.20000000000005</v>
      </c>
      <c r="P99">
        <f t="shared" si="5"/>
        <v>4.142052862563185E-2</v>
      </c>
    </row>
    <row r="100" spans="1:16">
      <c r="A100" s="1">
        <v>45664</v>
      </c>
      <c r="B100">
        <v>242.21</v>
      </c>
      <c r="C100">
        <f t="shared" si="4"/>
        <v>-1.1453092086491822E-2</v>
      </c>
      <c r="G100" s="1">
        <v>45664</v>
      </c>
      <c r="H100">
        <v>422.37</v>
      </c>
      <c r="I100">
        <f t="shared" si="6"/>
        <v>-1.2890959721518212E-2</v>
      </c>
      <c r="M100" s="1"/>
      <c r="N100" s="1">
        <v>45664</v>
      </c>
      <c r="O100">
        <v>617.89</v>
      </c>
      <c r="P100">
        <f t="shared" si="5"/>
        <v>-1.9726781235719498E-2</v>
      </c>
    </row>
    <row r="101" spans="1:16">
      <c r="A101" s="1">
        <v>45665</v>
      </c>
      <c r="B101">
        <v>242.7</v>
      </c>
      <c r="C101">
        <f t="shared" si="4"/>
        <v>2.0209942743203797E-3</v>
      </c>
      <c r="G101" s="1">
        <v>45665</v>
      </c>
      <c r="H101">
        <v>424.56</v>
      </c>
      <c r="I101">
        <f t="shared" si="6"/>
        <v>5.1716313770938417E-3</v>
      </c>
      <c r="M101" s="1"/>
      <c r="N101" s="1">
        <v>45665</v>
      </c>
      <c r="O101">
        <v>610.72</v>
      </c>
      <c r="P101">
        <f t="shared" si="5"/>
        <v>-1.1671859090535105E-2</v>
      </c>
    </row>
    <row r="102" spans="1:16">
      <c r="A102" s="1">
        <v>45667</v>
      </c>
      <c r="B102">
        <v>236.85</v>
      </c>
      <c r="C102">
        <f t="shared" si="4"/>
        <v>-2.4399083362794845E-2</v>
      </c>
      <c r="G102" s="1">
        <v>45667</v>
      </c>
      <c r="H102">
        <v>418.95</v>
      </c>
      <c r="I102">
        <f t="shared" si="6"/>
        <v>-1.3301757460344052E-2</v>
      </c>
      <c r="M102" s="1"/>
      <c r="N102" s="1">
        <v>45667</v>
      </c>
      <c r="O102">
        <v>615.86</v>
      </c>
      <c r="P102">
        <f t="shared" si="5"/>
        <v>8.3810759789674522E-3</v>
      </c>
    </row>
    <row r="103" spans="1:16">
      <c r="A103" s="1">
        <v>45670</v>
      </c>
      <c r="B103">
        <v>234.4</v>
      </c>
      <c r="C103">
        <f t="shared" si="4"/>
        <v>-1.0397971666903203E-2</v>
      </c>
      <c r="G103" s="1">
        <v>45670</v>
      </c>
      <c r="H103">
        <v>417.19</v>
      </c>
      <c r="I103">
        <f t="shared" si="6"/>
        <v>-4.209827539218081E-3</v>
      </c>
      <c r="M103" s="1"/>
      <c r="N103" s="1">
        <v>45670</v>
      </c>
      <c r="O103">
        <v>608.33000000000004</v>
      </c>
      <c r="P103">
        <f t="shared" si="5"/>
        <v>-1.2302167094471872E-2</v>
      </c>
    </row>
    <row r="104" spans="1:16">
      <c r="A104" s="1">
        <v>45671</v>
      </c>
      <c r="B104">
        <v>233.28</v>
      </c>
      <c r="C104">
        <f t="shared" si="4"/>
        <v>-4.7896088825642048E-3</v>
      </c>
      <c r="G104" s="1">
        <v>45671</v>
      </c>
      <c r="H104">
        <v>415.67</v>
      </c>
      <c r="I104">
        <f t="shared" si="6"/>
        <v>-3.6500772941136213E-3</v>
      </c>
      <c r="M104" s="1"/>
      <c r="N104" s="1">
        <v>45671</v>
      </c>
      <c r="O104">
        <v>594.25</v>
      </c>
      <c r="P104">
        <f t="shared" si="5"/>
        <v>-2.3417391641111847E-2</v>
      </c>
    </row>
    <row r="105" spans="1:16">
      <c r="A105" s="1">
        <v>45672</v>
      </c>
      <c r="B105">
        <v>237.87</v>
      </c>
      <c r="C105">
        <f t="shared" si="4"/>
        <v>1.9484857132124001E-2</v>
      </c>
      <c r="G105" s="1">
        <v>45672</v>
      </c>
      <c r="H105">
        <v>426.31</v>
      </c>
      <c r="I105">
        <f t="shared" si="6"/>
        <v>2.5275104928999953E-2</v>
      </c>
      <c r="M105" s="1"/>
      <c r="N105" s="1">
        <v>45672</v>
      </c>
      <c r="O105">
        <v>617.12</v>
      </c>
      <c r="P105">
        <f t="shared" si="5"/>
        <v>3.7763388219614447E-2</v>
      </c>
    </row>
    <row r="106" spans="1:16">
      <c r="A106" s="1">
        <v>45673</v>
      </c>
      <c r="B106">
        <v>228.26</v>
      </c>
      <c r="C106">
        <f t="shared" si="4"/>
        <v>-4.1238975826963314E-2</v>
      </c>
      <c r="G106" s="1">
        <v>45673</v>
      </c>
      <c r="H106">
        <v>424.58</v>
      </c>
      <c r="I106">
        <f t="shared" si="6"/>
        <v>-4.066336151107945E-3</v>
      </c>
      <c r="M106" s="1"/>
      <c r="N106" s="1">
        <v>45673</v>
      </c>
      <c r="O106">
        <v>611.29999999999995</v>
      </c>
      <c r="P106">
        <f t="shared" si="5"/>
        <v>-9.4756574252379891E-3</v>
      </c>
    </row>
    <row r="107" spans="1:16">
      <c r="A107" s="1">
        <v>45674</v>
      </c>
      <c r="B107">
        <v>229.98</v>
      </c>
      <c r="C107">
        <f t="shared" si="4"/>
        <v>7.5070184950648353E-3</v>
      </c>
      <c r="G107" s="1">
        <v>45674</v>
      </c>
      <c r="H107">
        <v>429.03</v>
      </c>
      <c r="I107">
        <f t="shared" si="6"/>
        <v>1.0426401549097972E-2</v>
      </c>
      <c r="M107" s="1"/>
      <c r="N107" s="1">
        <v>45674</v>
      </c>
      <c r="O107">
        <v>612.77</v>
      </c>
      <c r="P107">
        <f t="shared" si="5"/>
        <v>2.4018245797596477E-3</v>
      </c>
    </row>
    <row r="108" spans="1:16">
      <c r="A108" s="1">
        <v>45678</v>
      </c>
      <c r="B108">
        <v>222.64</v>
      </c>
      <c r="C108">
        <f t="shared" si="4"/>
        <v>-3.2436231402883438E-2</v>
      </c>
      <c r="G108" s="1">
        <v>45678</v>
      </c>
      <c r="H108">
        <v>428.5</v>
      </c>
      <c r="I108">
        <f t="shared" si="6"/>
        <v>-1.236108515119177E-3</v>
      </c>
      <c r="M108" s="1"/>
      <c r="N108" s="1">
        <v>45678</v>
      </c>
      <c r="O108">
        <v>616.46</v>
      </c>
      <c r="P108">
        <f t="shared" si="5"/>
        <v>6.0037764843569614E-3</v>
      </c>
    </row>
    <row r="109" spans="1:16">
      <c r="A109" s="1">
        <v>45679</v>
      </c>
      <c r="B109">
        <v>223.83</v>
      </c>
      <c r="C109">
        <f t="shared" si="4"/>
        <v>5.3307179338975266E-3</v>
      </c>
      <c r="G109" s="1">
        <v>45679</v>
      </c>
      <c r="H109">
        <v>446.2</v>
      </c>
      <c r="I109">
        <f t="shared" si="6"/>
        <v>4.0476543960597577E-2</v>
      </c>
      <c r="M109" s="1"/>
      <c r="N109" s="1">
        <v>45679</v>
      </c>
      <c r="O109">
        <v>623.5</v>
      </c>
      <c r="P109">
        <f t="shared" si="5"/>
        <v>1.1355327021294879E-2</v>
      </c>
    </row>
    <row r="110" spans="1:16">
      <c r="A110" s="1">
        <v>45680</v>
      </c>
      <c r="B110">
        <v>223.66</v>
      </c>
      <c r="C110">
        <f t="shared" si="4"/>
        <v>-7.5979355149053557E-4</v>
      </c>
      <c r="G110" s="1">
        <v>45680</v>
      </c>
      <c r="H110">
        <v>446.71</v>
      </c>
      <c r="I110">
        <f t="shared" si="6"/>
        <v>1.142332498144708E-3</v>
      </c>
      <c r="M110" s="1"/>
      <c r="N110" s="1">
        <v>45680</v>
      </c>
      <c r="O110">
        <v>636.45000000000005</v>
      </c>
      <c r="P110">
        <f t="shared" si="5"/>
        <v>2.0557095196352581E-2</v>
      </c>
    </row>
    <row r="111" spans="1:16">
      <c r="A111" s="1">
        <v>45681</v>
      </c>
      <c r="B111">
        <v>222.78</v>
      </c>
      <c r="C111">
        <f t="shared" si="4"/>
        <v>-3.9423041829985839E-3</v>
      </c>
      <c r="G111" s="1">
        <v>45681</v>
      </c>
      <c r="H111">
        <v>444.06</v>
      </c>
      <c r="I111">
        <f t="shared" si="6"/>
        <v>-5.9499260591469177E-3</v>
      </c>
      <c r="M111" s="1"/>
      <c r="N111" s="1">
        <v>45681</v>
      </c>
      <c r="O111">
        <v>647.49</v>
      </c>
      <c r="P111">
        <f t="shared" si="5"/>
        <v>1.7197489122545186E-2</v>
      </c>
    </row>
    <row r="112" spans="1:16">
      <c r="A112" s="1">
        <v>45684</v>
      </c>
      <c r="B112">
        <v>229.86</v>
      </c>
      <c r="C112">
        <f t="shared" si="4"/>
        <v>3.1285690523568978E-2</v>
      </c>
      <c r="G112" s="1">
        <v>45684</v>
      </c>
      <c r="H112">
        <v>434.56</v>
      </c>
      <c r="I112">
        <f t="shared" si="6"/>
        <v>-2.1625663507153406E-2</v>
      </c>
      <c r="M112" s="1"/>
      <c r="N112" s="1">
        <v>45684</v>
      </c>
      <c r="O112">
        <v>659.88</v>
      </c>
      <c r="P112">
        <f t="shared" si="5"/>
        <v>1.8954650868734872E-2</v>
      </c>
    </row>
    <row r="113" spans="1:16">
      <c r="A113" s="1">
        <v>45685</v>
      </c>
      <c r="B113">
        <v>238.26</v>
      </c>
      <c r="C113">
        <f t="shared" si="4"/>
        <v>3.5892086430602384E-2</v>
      </c>
      <c r="G113" s="1">
        <v>45685</v>
      </c>
      <c r="H113">
        <v>447.2</v>
      </c>
      <c r="I113">
        <f t="shared" si="6"/>
        <v>2.8671896910612688E-2</v>
      </c>
      <c r="M113" s="1"/>
      <c r="N113" s="1">
        <v>45685</v>
      </c>
      <c r="O113">
        <v>674.33</v>
      </c>
      <c r="P113">
        <f t="shared" si="5"/>
        <v>2.1661605025962608E-2</v>
      </c>
    </row>
    <row r="114" spans="1:16">
      <c r="A114" s="1">
        <v>45686</v>
      </c>
      <c r="B114">
        <v>239.36</v>
      </c>
      <c r="C114">
        <f t="shared" si="4"/>
        <v>4.6061804148975023E-3</v>
      </c>
      <c r="G114" s="1">
        <v>45686</v>
      </c>
      <c r="H114">
        <v>442.33</v>
      </c>
      <c r="I114">
        <f t="shared" si="6"/>
        <v>-1.0949712000212162E-2</v>
      </c>
      <c r="M114" s="1"/>
      <c r="N114" s="1">
        <v>45686</v>
      </c>
      <c r="O114">
        <v>676.49</v>
      </c>
      <c r="P114">
        <f t="shared" si="5"/>
        <v>3.1980602019005986E-3</v>
      </c>
    </row>
    <row r="115" spans="1:16">
      <c r="A115" s="1">
        <v>45687</v>
      </c>
      <c r="B115">
        <v>237.59</v>
      </c>
      <c r="C115">
        <f t="shared" si="4"/>
        <v>-7.4221957254156003E-3</v>
      </c>
      <c r="G115" s="1">
        <v>45687</v>
      </c>
      <c r="H115">
        <v>414.99</v>
      </c>
      <c r="I115">
        <f t="shared" si="6"/>
        <v>-6.3801786285843556E-2</v>
      </c>
      <c r="M115" s="1"/>
      <c r="N115" s="1">
        <v>45687</v>
      </c>
      <c r="O115">
        <v>687</v>
      </c>
      <c r="P115">
        <f t="shared" si="5"/>
        <v>1.541662668676246E-2</v>
      </c>
    </row>
    <row r="116" spans="1:16">
      <c r="A116" s="1">
        <v>45688</v>
      </c>
      <c r="B116">
        <v>236</v>
      </c>
      <c r="C116">
        <f t="shared" si="4"/>
        <v>-6.714694035086833E-3</v>
      </c>
      <c r="G116" s="1">
        <v>45688</v>
      </c>
      <c r="H116">
        <v>415.06</v>
      </c>
      <c r="I116">
        <f t="shared" si="6"/>
        <v>1.6866453868067421E-4</v>
      </c>
      <c r="M116" s="1"/>
      <c r="N116" s="1">
        <v>45688</v>
      </c>
      <c r="O116">
        <v>689.18</v>
      </c>
      <c r="P116">
        <f t="shared" si="5"/>
        <v>3.1681928577205975E-3</v>
      </c>
    </row>
    <row r="117" spans="1:16">
      <c r="A117" s="1">
        <v>45691</v>
      </c>
      <c r="B117">
        <v>228.01</v>
      </c>
      <c r="C117">
        <f t="shared" si="4"/>
        <v>-3.4442317383852845E-2</v>
      </c>
      <c r="G117" s="1">
        <v>45691</v>
      </c>
      <c r="H117">
        <v>410.92</v>
      </c>
      <c r="I117">
        <f t="shared" si="6"/>
        <v>-1.0024539745451297E-2</v>
      </c>
      <c r="M117" s="1"/>
      <c r="N117" s="1">
        <v>45691</v>
      </c>
      <c r="O117">
        <v>697.46</v>
      </c>
      <c r="P117">
        <f t="shared" si="5"/>
        <v>1.194267930075938E-2</v>
      </c>
    </row>
    <row r="118" spans="1:16">
      <c r="A118" s="1">
        <v>45692</v>
      </c>
      <c r="B118">
        <v>232.8</v>
      </c>
      <c r="C118">
        <f t="shared" si="4"/>
        <v>2.0790228215525564E-2</v>
      </c>
      <c r="G118" s="1">
        <v>45692</v>
      </c>
      <c r="H118">
        <v>412.37</v>
      </c>
      <c r="I118">
        <f t="shared" si="6"/>
        <v>3.5224562408462663E-3</v>
      </c>
      <c r="M118" s="1"/>
      <c r="N118" s="1">
        <v>45692</v>
      </c>
      <c r="O118">
        <v>704.19</v>
      </c>
      <c r="P118">
        <f t="shared" si="5"/>
        <v>9.6030417280762049E-3</v>
      </c>
    </row>
    <row r="119" spans="1:16">
      <c r="A119" s="1">
        <v>45693</v>
      </c>
      <c r="B119">
        <v>232.47</v>
      </c>
      <c r="C119">
        <f t="shared" si="4"/>
        <v>-1.4185314133143574E-3</v>
      </c>
      <c r="G119" s="1">
        <v>45693</v>
      </c>
      <c r="H119">
        <v>413.29</v>
      </c>
      <c r="I119">
        <f t="shared" si="6"/>
        <v>2.2285211364244705E-3</v>
      </c>
      <c r="M119" s="1"/>
      <c r="N119" s="1">
        <v>45693</v>
      </c>
      <c r="O119">
        <v>704.87</v>
      </c>
      <c r="P119">
        <f t="shared" si="5"/>
        <v>9.6518253699530454E-4</v>
      </c>
    </row>
    <row r="120" spans="1:16">
      <c r="A120" s="1">
        <v>45694</v>
      </c>
      <c r="B120">
        <v>233.22</v>
      </c>
      <c r="C120">
        <f t="shared" si="4"/>
        <v>3.2210296482183117E-3</v>
      </c>
      <c r="G120" s="1">
        <v>45694</v>
      </c>
      <c r="H120">
        <v>415.82</v>
      </c>
      <c r="I120">
        <f t="shared" si="6"/>
        <v>6.1029485899084931E-3</v>
      </c>
      <c r="M120" s="1"/>
      <c r="N120" s="1">
        <v>45694</v>
      </c>
      <c r="O120">
        <v>711.99</v>
      </c>
      <c r="P120">
        <f t="shared" si="5"/>
        <v>1.0050477723623365E-2</v>
      </c>
    </row>
    <row r="121" spans="1:16">
      <c r="A121" s="1">
        <v>45695</v>
      </c>
      <c r="B121">
        <v>227.63</v>
      </c>
      <c r="C121">
        <f t="shared" si="4"/>
        <v>-2.4260710332889599E-2</v>
      </c>
      <c r="G121" s="1">
        <v>45695</v>
      </c>
      <c r="H121">
        <v>409.75</v>
      </c>
      <c r="I121">
        <f t="shared" si="6"/>
        <v>-1.4705256691303348E-2</v>
      </c>
      <c r="M121" s="1"/>
      <c r="N121" s="1">
        <v>45695</v>
      </c>
      <c r="O121">
        <v>714.52</v>
      </c>
      <c r="P121">
        <f t="shared" si="5"/>
        <v>3.5471222111592773E-3</v>
      </c>
    </row>
    <row r="122" spans="1:16">
      <c r="A122" s="1">
        <v>45698</v>
      </c>
      <c r="B122">
        <v>227.65</v>
      </c>
      <c r="C122">
        <f t="shared" si="4"/>
        <v>8.7858021493861051E-5</v>
      </c>
      <c r="G122" s="1">
        <v>45698</v>
      </c>
      <c r="H122">
        <v>412.22</v>
      </c>
      <c r="I122">
        <f t="shared" si="6"/>
        <v>6.0099697912124102E-3</v>
      </c>
      <c r="M122" s="1"/>
      <c r="N122" s="1">
        <v>45698</v>
      </c>
      <c r="O122">
        <v>717.4</v>
      </c>
      <c r="P122">
        <f t="shared" si="5"/>
        <v>4.0225765174984511E-3</v>
      </c>
    </row>
    <row r="123" spans="1:16">
      <c r="A123" s="1">
        <v>45699</v>
      </c>
      <c r="B123">
        <v>232.62</v>
      </c>
      <c r="C123">
        <f t="shared" si="4"/>
        <v>2.1596859130101596E-2</v>
      </c>
      <c r="G123" s="1">
        <v>45699</v>
      </c>
      <c r="H123">
        <v>411.44</v>
      </c>
      <c r="I123">
        <f t="shared" si="6"/>
        <v>-1.8939859484906557E-3</v>
      </c>
      <c r="M123" s="1"/>
      <c r="N123" s="1">
        <v>45699</v>
      </c>
      <c r="O123">
        <v>719.8</v>
      </c>
      <c r="P123">
        <f t="shared" si="5"/>
        <v>3.3398305467480277E-3</v>
      </c>
    </row>
    <row r="124" spans="1:16">
      <c r="A124" s="1">
        <v>45700</v>
      </c>
      <c r="B124">
        <v>236.87</v>
      </c>
      <c r="C124">
        <f t="shared" si="4"/>
        <v>1.810524652359782E-2</v>
      </c>
      <c r="G124" s="1">
        <v>45700</v>
      </c>
      <c r="H124">
        <v>409.04</v>
      </c>
      <c r="I124">
        <f t="shared" si="6"/>
        <v>-5.8502506949169517E-3</v>
      </c>
      <c r="M124" s="1"/>
      <c r="N124" s="1">
        <v>45700</v>
      </c>
      <c r="O124">
        <v>725.38</v>
      </c>
      <c r="P124">
        <f t="shared" si="5"/>
        <v>7.7222598284718063E-3</v>
      </c>
    </row>
    <row r="125" spans="1:16">
      <c r="A125" s="1">
        <v>45701</v>
      </c>
      <c r="B125">
        <v>241.53</v>
      </c>
      <c r="C125">
        <f t="shared" si="4"/>
        <v>1.9482221545508639E-2</v>
      </c>
      <c r="G125" s="1">
        <v>45701</v>
      </c>
      <c r="H125">
        <v>410.54</v>
      </c>
      <c r="I125">
        <f t="shared" si="6"/>
        <v>3.6604155172889801E-3</v>
      </c>
      <c r="M125" s="1"/>
      <c r="N125" s="1">
        <v>45701</v>
      </c>
      <c r="O125">
        <v>728.56</v>
      </c>
      <c r="P125">
        <f t="shared" si="5"/>
        <v>4.3743277861609106E-3</v>
      </c>
    </row>
    <row r="126" spans="1:16">
      <c r="A126" s="1">
        <v>45702</v>
      </c>
      <c r="B126">
        <v>244.6</v>
      </c>
      <c r="C126">
        <f t="shared" si="4"/>
        <v>1.2630534273072785E-2</v>
      </c>
      <c r="G126" s="1">
        <v>45702</v>
      </c>
      <c r="H126">
        <v>408.43</v>
      </c>
      <c r="I126">
        <f t="shared" si="6"/>
        <v>-5.15282530167358E-3</v>
      </c>
      <c r="M126" s="1"/>
      <c r="N126" s="1">
        <v>45702</v>
      </c>
      <c r="O126">
        <v>736.67</v>
      </c>
      <c r="P126">
        <f t="shared" si="5"/>
        <v>1.1070047460766216E-2</v>
      </c>
    </row>
    <row r="127" spans="1:16">
      <c r="A127" s="1">
        <v>45706</v>
      </c>
      <c r="B127">
        <v>244.47</v>
      </c>
      <c r="C127">
        <f t="shared" si="4"/>
        <v>-5.3162125283384893E-4</v>
      </c>
      <c r="G127" s="1">
        <v>45706</v>
      </c>
      <c r="H127">
        <v>409.64</v>
      </c>
      <c r="I127">
        <f t="shared" si="6"/>
        <v>2.9581842198776473E-3</v>
      </c>
      <c r="M127" s="1"/>
      <c r="N127" s="1">
        <v>45706</v>
      </c>
      <c r="O127">
        <v>716.37</v>
      </c>
      <c r="P127">
        <f t="shared" si="5"/>
        <v>-2.7943237457499853E-2</v>
      </c>
    </row>
    <row r="128" spans="1:16">
      <c r="A128" s="1">
        <v>45707</v>
      </c>
      <c r="B128">
        <v>244.87</v>
      </c>
      <c r="C128">
        <f t="shared" si="4"/>
        <v>1.6348554750960618E-3</v>
      </c>
      <c r="G128" s="1">
        <v>45707</v>
      </c>
      <c r="H128">
        <v>414.77</v>
      </c>
      <c r="I128">
        <f t="shared" si="6"/>
        <v>1.24454245210562E-2</v>
      </c>
      <c r="M128" s="1"/>
      <c r="N128" s="1">
        <v>45707</v>
      </c>
      <c r="O128">
        <v>703.77</v>
      </c>
      <c r="P128">
        <f t="shared" si="5"/>
        <v>-1.7745195029798135E-2</v>
      </c>
    </row>
    <row r="129" spans="1:16">
      <c r="A129" s="1">
        <v>45708</v>
      </c>
      <c r="B129">
        <v>245.83</v>
      </c>
      <c r="C129">
        <f t="shared" si="4"/>
        <v>3.9127826565687213E-3</v>
      </c>
      <c r="G129" s="1">
        <v>45708</v>
      </c>
      <c r="H129">
        <v>416.13</v>
      </c>
      <c r="I129">
        <f t="shared" si="6"/>
        <v>3.2735617150155796E-3</v>
      </c>
      <c r="M129" s="1"/>
      <c r="N129" s="1">
        <v>45708</v>
      </c>
      <c r="O129">
        <v>694.84</v>
      </c>
      <c r="P129">
        <f t="shared" si="5"/>
        <v>-1.2769994999308615E-2</v>
      </c>
    </row>
  </sheetData>
  <sortState xmlns:xlrd2="http://schemas.microsoft.com/office/spreadsheetml/2017/richdata2" ref="A3:B129">
    <sortCondition ref="A2:A129"/>
  </sortState>
  <mergeCells count="44">
    <mergeCell ref="AG34:AI34"/>
    <mergeCell ref="AG36:AI36"/>
    <mergeCell ref="AG37:AI37"/>
    <mergeCell ref="AG41:AI41"/>
    <mergeCell ref="AL36:AN36"/>
    <mergeCell ref="AL37:AN37"/>
    <mergeCell ref="AL38:AN38"/>
    <mergeCell ref="AL39:AN39"/>
    <mergeCell ref="AG38:AI38"/>
    <mergeCell ref="AL41:AN41"/>
    <mergeCell ref="R30:U30"/>
    <mergeCell ref="R38:U38"/>
    <mergeCell ref="R51:U51"/>
    <mergeCell ref="A1:C1"/>
    <mergeCell ref="G1:I1"/>
    <mergeCell ref="N1:P1"/>
    <mergeCell ref="E7:F7"/>
    <mergeCell ref="K9:L9"/>
    <mergeCell ref="R9:S9"/>
    <mergeCell ref="R57:U57"/>
    <mergeCell ref="Y33:Z33"/>
    <mergeCell ref="AA33:AB33"/>
    <mergeCell ref="AC33:AD33"/>
    <mergeCell ref="R55:S55"/>
    <mergeCell ref="T53:T55"/>
    <mergeCell ref="R53:S53"/>
    <mergeCell ref="R54:S54"/>
    <mergeCell ref="Y55:AD55"/>
    <mergeCell ref="AL42:AN42"/>
    <mergeCell ref="AG40:AI40"/>
    <mergeCell ref="AL43:AN43"/>
    <mergeCell ref="AL44:AN44"/>
    <mergeCell ref="Y31:AD32"/>
    <mergeCell ref="AE33:AF33"/>
    <mergeCell ref="AA34:AB34"/>
    <mergeCell ref="AA35:AB35"/>
    <mergeCell ref="AC34:AD34"/>
    <mergeCell ref="AC35:AD35"/>
    <mergeCell ref="AE34:AF35"/>
    <mergeCell ref="AG39:AI39"/>
    <mergeCell ref="AG42:AI42"/>
    <mergeCell ref="AG43:AI43"/>
    <mergeCell ref="AH31:AO31"/>
    <mergeCell ref="AH33:AJ33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DF29-5B8E-4F8B-B41C-0D1332CAE4EC}">
  <sheetPr codeName="Sheet2"/>
  <dimension ref="A1:F128"/>
  <sheetViews>
    <sheetView workbookViewId="0">
      <selection activeCell="E11" sqref="E11:F15"/>
    </sheetView>
  </sheetViews>
  <sheetFormatPr baseColWidth="10" defaultColWidth="8.83203125" defaultRowHeight="15"/>
  <cols>
    <col min="1" max="1" width="31.5" customWidth="1"/>
    <col min="3" max="3" width="25.5" customWidth="1"/>
    <col min="4" max="4" width="23.83203125" customWidth="1"/>
    <col min="5" max="5" width="30.5" customWidth="1"/>
    <col min="6" max="6" width="21.5" customWidth="1"/>
  </cols>
  <sheetData>
    <row r="1" spans="1:6">
      <c r="A1" t="s">
        <v>0</v>
      </c>
      <c r="B1" t="s">
        <v>1</v>
      </c>
      <c r="C1" t="s">
        <v>3</v>
      </c>
    </row>
    <row r="2" spans="1:6">
      <c r="A2" s="1">
        <v>45523</v>
      </c>
      <c r="B2">
        <v>421.53</v>
      </c>
    </row>
    <row r="3" spans="1:6">
      <c r="A3" s="1">
        <v>45524</v>
      </c>
      <c r="B3">
        <v>424.8</v>
      </c>
      <c r="C3">
        <f>LN(B3/B2)</f>
        <v>7.7275206413707194E-3</v>
      </c>
      <c r="F3" s="3"/>
    </row>
    <row r="4" spans="1:6">
      <c r="A4" s="1">
        <v>45525</v>
      </c>
      <c r="B4">
        <v>424.14</v>
      </c>
      <c r="C4">
        <f t="shared" ref="C4:C67" si="0">LN(B4/B3)</f>
        <v>-1.5548805168114723E-3</v>
      </c>
    </row>
    <row r="5" spans="1:6">
      <c r="A5" s="1">
        <v>45526</v>
      </c>
      <c r="B5">
        <v>415.55</v>
      </c>
      <c r="C5">
        <f>LN(B5/B4)</f>
        <v>-2.0460645411882226E-2</v>
      </c>
    </row>
    <row r="6" spans="1:6">
      <c r="A6" s="1">
        <v>45527</v>
      </c>
      <c r="B6">
        <v>416.79</v>
      </c>
      <c r="C6">
        <f t="shared" si="0"/>
        <v>2.9795538298447027E-3</v>
      </c>
    </row>
    <row r="7" spans="1:6">
      <c r="A7" s="1">
        <v>45530</v>
      </c>
      <c r="B7">
        <v>413.49</v>
      </c>
      <c r="C7">
        <f t="shared" si="0"/>
        <v>-7.9491674544228709E-3</v>
      </c>
    </row>
    <row r="8" spans="1:6">
      <c r="A8" s="1">
        <v>45531</v>
      </c>
      <c r="B8">
        <v>413.84</v>
      </c>
      <c r="C8">
        <f t="shared" si="0"/>
        <v>8.4609532080240444E-4</v>
      </c>
    </row>
    <row r="9" spans="1:6">
      <c r="A9" s="1">
        <v>45532</v>
      </c>
      <c r="B9">
        <v>410.6</v>
      </c>
      <c r="C9">
        <f t="shared" si="0"/>
        <v>-7.8599211104263648E-3</v>
      </c>
    </row>
    <row r="10" spans="1:6">
      <c r="A10" s="1">
        <v>45533</v>
      </c>
      <c r="B10">
        <v>413.12</v>
      </c>
      <c r="C10">
        <f t="shared" si="0"/>
        <v>6.1186030734444426E-3</v>
      </c>
    </row>
    <row r="11" spans="1:6">
      <c r="A11" s="1">
        <v>45534</v>
      </c>
      <c r="B11">
        <v>417.14</v>
      </c>
      <c r="C11">
        <f t="shared" si="0"/>
        <v>9.6837892102111817E-3</v>
      </c>
      <c r="E11" s="4" t="s">
        <v>5</v>
      </c>
      <c r="F11" s="4">
        <f>_xlfn.STDEV.S(C3:C128)</f>
        <v>1.3930023583071362E-2</v>
      </c>
    </row>
    <row r="12" spans="1:6">
      <c r="A12" s="1">
        <v>45538</v>
      </c>
      <c r="B12">
        <v>409.44</v>
      </c>
      <c r="C12">
        <f t="shared" si="0"/>
        <v>-1.8631524457010256E-2</v>
      </c>
      <c r="E12" s="4" t="s">
        <v>6</v>
      </c>
      <c r="F12" s="4">
        <f>F11*SQRT(252)</f>
        <v>0.22113226894843033</v>
      </c>
    </row>
    <row r="13" spans="1:6">
      <c r="A13" s="1">
        <v>45539</v>
      </c>
      <c r="B13">
        <v>408.9</v>
      </c>
      <c r="C13">
        <f t="shared" si="0"/>
        <v>-1.3197450408820716E-3</v>
      </c>
      <c r="E13" s="4" t="s">
        <v>4</v>
      </c>
      <c r="F13" s="5" cm="1">
        <f t="array" ref="F13">CalculateCAGR(B3,B128,1)</f>
        <v>-2.0409604519774027E-2</v>
      </c>
    </row>
    <row r="14" spans="1:6">
      <c r="A14" s="1">
        <v>45540</v>
      </c>
      <c r="B14">
        <v>408.39</v>
      </c>
      <c r="C14">
        <f t="shared" si="0"/>
        <v>-1.2480271781052238E-3</v>
      </c>
      <c r="E14" s="4" t="s">
        <v>9</v>
      </c>
      <c r="F14" s="4">
        <f>AVERAGE(C3:C128)</f>
        <v>-1.0232728446864994E-4</v>
      </c>
    </row>
    <row r="15" spans="1:6">
      <c r="A15" s="1">
        <v>45541</v>
      </c>
      <c r="B15">
        <v>401.7</v>
      </c>
      <c r="C15">
        <f t="shared" si="0"/>
        <v>-1.6517058827254908E-2</v>
      </c>
      <c r="E15" s="4" t="s">
        <v>11</v>
      </c>
      <c r="F15" s="4">
        <f>F14*252</f>
        <v>-2.5786475686099784E-2</v>
      </c>
    </row>
    <row r="16" spans="1:6">
      <c r="A16" s="1">
        <v>45544</v>
      </c>
      <c r="B16">
        <v>405.72</v>
      </c>
      <c r="C16">
        <f t="shared" si="0"/>
        <v>9.9577251425585992E-3</v>
      </c>
    </row>
    <row r="17" spans="1:3">
      <c r="A17" s="1">
        <v>45545</v>
      </c>
      <c r="B17">
        <v>414.2</v>
      </c>
      <c r="C17">
        <f t="shared" si="0"/>
        <v>2.0685682453688709E-2</v>
      </c>
    </row>
    <row r="18" spans="1:3">
      <c r="A18" s="1">
        <v>45546</v>
      </c>
      <c r="B18">
        <v>423.04</v>
      </c>
      <c r="C18">
        <f t="shared" si="0"/>
        <v>2.1117788261783055E-2</v>
      </c>
    </row>
    <row r="19" spans="1:3">
      <c r="A19" s="1">
        <v>45547</v>
      </c>
      <c r="B19">
        <v>427</v>
      </c>
      <c r="C19">
        <f t="shared" si="0"/>
        <v>9.317276005357816E-3</v>
      </c>
    </row>
    <row r="20" spans="1:3">
      <c r="A20" s="1">
        <v>45548</v>
      </c>
      <c r="B20">
        <v>430.59</v>
      </c>
      <c r="C20">
        <f t="shared" si="0"/>
        <v>8.3723480227740621E-3</v>
      </c>
    </row>
    <row r="21" spans="1:3">
      <c r="A21" s="1">
        <v>45551</v>
      </c>
      <c r="B21">
        <v>431.34</v>
      </c>
      <c r="C21">
        <f t="shared" si="0"/>
        <v>1.7402809724365456E-3</v>
      </c>
    </row>
    <row r="22" spans="1:3">
      <c r="A22" s="1">
        <v>45552</v>
      </c>
      <c r="B22">
        <v>435.15</v>
      </c>
      <c r="C22">
        <f t="shared" si="0"/>
        <v>8.7941570116875194E-3</v>
      </c>
    </row>
    <row r="23" spans="1:3">
      <c r="A23" s="1">
        <v>45553</v>
      </c>
      <c r="B23">
        <v>430.81</v>
      </c>
      <c r="C23">
        <f t="shared" si="0"/>
        <v>-1.0023641595028616E-2</v>
      </c>
    </row>
    <row r="24" spans="1:3">
      <c r="A24" s="1">
        <v>45554</v>
      </c>
      <c r="B24">
        <v>438.69</v>
      </c>
      <c r="C24">
        <f t="shared" si="0"/>
        <v>1.8125855651403351E-2</v>
      </c>
    </row>
    <row r="25" spans="1:3">
      <c r="A25" s="1">
        <v>45555</v>
      </c>
      <c r="B25">
        <v>435.27</v>
      </c>
      <c r="C25">
        <f t="shared" si="0"/>
        <v>-7.8264850961940139E-3</v>
      </c>
    </row>
    <row r="26" spans="1:3">
      <c r="A26" s="1">
        <v>45558</v>
      </c>
      <c r="B26">
        <v>433.51</v>
      </c>
      <c r="C26">
        <f t="shared" si="0"/>
        <v>-4.051664190420563E-3</v>
      </c>
    </row>
    <row r="27" spans="1:3">
      <c r="A27" s="1">
        <v>45559</v>
      </c>
      <c r="B27">
        <v>429.17</v>
      </c>
      <c r="C27">
        <f t="shared" si="0"/>
        <v>-1.0061753175372987E-2</v>
      </c>
    </row>
    <row r="28" spans="1:3">
      <c r="A28" s="1">
        <v>45560</v>
      </c>
      <c r="B28">
        <v>432.11</v>
      </c>
      <c r="C28">
        <f t="shared" si="0"/>
        <v>6.8270746312079078E-3</v>
      </c>
    </row>
    <row r="29" spans="1:3">
      <c r="A29" s="1">
        <v>45561</v>
      </c>
      <c r="B29">
        <v>431.31</v>
      </c>
      <c r="C29">
        <f t="shared" si="0"/>
        <v>-1.8530963585069932E-3</v>
      </c>
    </row>
    <row r="30" spans="1:3">
      <c r="A30" s="1">
        <v>45562</v>
      </c>
      <c r="B30">
        <v>428.02</v>
      </c>
      <c r="C30">
        <f t="shared" si="0"/>
        <v>-7.6571656406158482E-3</v>
      </c>
    </row>
    <row r="31" spans="1:3">
      <c r="A31" s="1">
        <v>45565</v>
      </c>
      <c r="B31">
        <v>430.3</v>
      </c>
      <c r="C31">
        <f t="shared" si="0"/>
        <v>5.3127163825590863E-3</v>
      </c>
    </row>
    <row r="32" spans="1:3">
      <c r="A32" s="1">
        <v>45566</v>
      </c>
      <c r="B32">
        <v>420.69</v>
      </c>
      <c r="C32">
        <f t="shared" si="0"/>
        <v>-2.2586419437884826E-2</v>
      </c>
    </row>
    <row r="33" spans="1:3">
      <c r="A33" s="1">
        <v>45567</v>
      </c>
      <c r="B33">
        <v>417.13</v>
      </c>
      <c r="C33">
        <f t="shared" si="0"/>
        <v>-8.4982965924682314E-3</v>
      </c>
    </row>
    <row r="34" spans="1:3">
      <c r="A34" s="1">
        <v>45568</v>
      </c>
      <c r="B34">
        <v>416.54</v>
      </c>
      <c r="C34">
        <f t="shared" si="0"/>
        <v>-1.415428403330617E-3</v>
      </c>
    </row>
    <row r="35" spans="1:3">
      <c r="A35" s="1">
        <v>45569</v>
      </c>
      <c r="B35">
        <v>416.06</v>
      </c>
      <c r="C35">
        <f t="shared" si="0"/>
        <v>-1.1530147806335601E-3</v>
      </c>
    </row>
    <row r="36" spans="1:3">
      <c r="A36" s="1">
        <v>45572</v>
      </c>
      <c r="B36">
        <v>409.54</v>
      </c>
      <c r="C36">
        <f t="shared" si="0"/>
        <v>-1.5794902009822458E-2</v>
      </c>
    </row>
    <row r="37" spans="1:3">
      <c r="A37" s="1">
        <v>45573</v>
      </c>
      <c r="B37">
        <v>414.71</v>
      </c>
      <c r="C37">
        <f t="shared" si="0"/>
        <v>1.2544902158405345E-2</v>
      </c>
    </row>
    <row r="38" spans="1:3">
      <c r="A38" s="1">
        <v>45574</v>
      </c>
      <c r="B38">
        <v>417.46</v>
      </c>
      <c r="C38">
        <f t="shared" si="0"/>
        <v>6.6092505389408794E-3</v>
      </c>
    </row>
    <row r="39" spans="1:3">
      <c r="A39" s="1">
        <v>45575</v>
      </c>
      <c r="B39">
        <v>415.84</v>
      </c>
      <c r="C39">
        <f t="shared" si="0"/>
        <v>-3.8881604245801747E-3</v>
      </c>
    </row>
    <row r="40" spans="1:3">
      <c r="A40" s="1">
        <v>45576</v>
      </c>
      <c r="B40">
        <v>416.32</v>
      </c>
      <c r="C40">
        <f t="shared" si="0"/>
        <v>1.1536244309604711E-3</v>
      </c>
    </row>
    <row r="41" spans="1:3">
      <c r="A41" s="1">
        <v>45579</v>
      </c>
      <c r="B41">
        <v>419.14</v>
      </c>
      <c r="C41">
        <f t="shared" si="0"/>
        <v>6.7507976676563454E-3</v>
      </c>
    </row>
    <row r="42" spans="1:3">
      <c r="A42" s="1">
        <v>45580</v>
      </c>
      <c r="B42">
        <v>418.74</v>
      </c>
      <c r="C42">
        <f t="shared" si="0"/>
        <v>-9.5479073468157682E-4</v>
      </c>
    </row>
    <row r="43" spans="1:3">
      <c r="A43" s="1">
        <v>45581</v>
      </c>
      <c r="B43">
        <v>416.12</v>
      </c>
      <c r="C43">
        <f t="shared" si="0"/>
        <v>-6.2765220544207835E-3</v>
      </c>
    </row>
    <row r="44" spans="1:3">
      <c r="A44" s="1">
        <v>45582</v>
      </c>
      <c r="B44">
        <v>416.72</v>
      </c>
      <c r="C44">
        <f t="shared" si="0"/>
        <v>1.4408532342417256E-3</v>
      </c>
    </row>
    <row r="45" spans="1:3">
      <c r="A45" s="1">
        <v>45583</v>
      </c>
      <c r="B45">
        <v>418.16</v>
      </c>
      <c r="C45">
        <f t="shared" si="0"/>
        <v>3.4496009677303843E-3</v>
      </c>
    </row>
    <row r="46" spans="1:3">
      <c r="A46" s="1">
        <v>45586</v>
      </c>
      <c r="B46">
        <v>418.78</v>
      </c>
      <c r="C46">
        <f t="shared" si="0"/>
        <v>1.4815879595039864E-3</v>
      </c>
    </row>
    <row r="47" spans="1:3">
      <c r="A47" s="1">
        <v>45587</v>
      </c>
      <c r="B47">
        <v>427.51</v>
      </c>
      <c r="C47">
        <f t="shared" si="0"/>
        <v>2.0631957551925872E-2</v>
      </c>
    </row>
    <row r="48" spans="1:3">
      <c r="A48" s="1">
        <v>45588</v>
      </c>
      <c r="B48">
        <v>424.6</v>
      </c>
      <c r="C48">
        <f t="shared" si="0"/>
        <v>-6.8301306469403964E-3</v>
      </c>
    </row>
    <row r="49" spans="1:3">
      <c r="A49" s="1">
        <v>45589</v>
      </c>
      <c r="B49">
        <v>424.73</v>
      </c>
      <c r="C49">
        <f t="shared" si="0"/>
        <v>3.0612365279741416E-4</v>
      </c>
    </row>
    <row r="50" spans="1:3">
      <c r="A50" s="1">
        <v>45590</v>
      </c>
      <c r="B50">
        <v>428.15</v>
      </c>
      <c r="C50">
        <f t="shared" si="0"/>
        <v>8.0199285502477527E-3</v>
      </c>
    </row>
    <row r="51" spans="1:3">
      <c r="A51" s="1">
        <v>45593</v>
      </c>
      <c r="B51">
        <v>426.59</v>
      </c>
      <c r="C51">
        <f t="shared" si="0"/>
        <v>-3.6502368723809321E-3</v>
      </c>
    </row>
    <row r="52" spans="1:3">
      <c r="A52" s="1">
        <v>45594</v>
      </c>
      <c r="B52">
        <v>431.95</v>
      </c>
      <c r="C52">
        <f t="shared" si="0"/>
        <v>1.2486476205073024E-2</v>
      </c>
    </row>
    <row r="53" spans="1:3">
      <c r="A53" s="1">
        <v>45595</v>
      </c>
      <c r="B53">
        <v>432.53</v>
      </c>
      <c r="C53">
        <f t="shared" si="0"/>
        <v>1.3418473233082768E-3</v>
      </c>
    </row>
    <row r="54" spans="1:3">
      <c r="A54" s="1">
        <v>45596</v>
      </c>
      <c r="B54">
        <v>406.35</v>
      </c>
      <c r="C54">
        <f t="shared" si="0"/>
        <v>-6.2436830928987566E-2</v>
      </c>
    </row>
    <row r="55" spans="1:3">
      <c r="A55" s="1">
        <v>45597</v>
      </c>
      <c r="B55">
        <v>410.37</v>
      </c>
      <c r="C55">
        <f t="shared" si="0"/>
        <v>9.8443345702487126E-3</v>
      </c>
    </row>
    <row r="56" spans="1:3">
      <c r="A56" s="1">
        <v>45600</v>
      </c>
      <c r="B56">
        <v>408.46</v>
      </c>
      <c r="C56">
        <f t="shared" si="0"/>
        <v>-4.6652014804508526E-3</v>
      </c>
    </row>
    <row r="57" spans="1:3">
      <c r="A57" s="1">
        <v>45601</v>
      </c>
      <c r="B57">
        <v>411.46</v>
      </c>
      <c r="C57">
        <f t="shared" si="0"/>
        <v>7.3178197570728321E-3</v>
      </c>
    </row>
    <row r="58" spans="1:3">
      <c r="A58" s="1">
        <v>45602</v>
      </c>
      <c r="B58">
        <v>420.18</v>
      </c>
      <c r="C58">
        <f t="shared" si="0"/>
        <v>2.0971380849396815E-2</v>
      </c>
    </row>
    <row r="59" spans="1:3">
      <c r="A59" s="1">
        <v>45603</v>
      </c>
      <c r="B59">
        <v>425.43</v>
      </c>
      <c r="C59">
        <f t="shared" si="0"/>
        <v>1.2417231245883099E-2</v>
      </c>
    </row>
    <row r="60" spans="1:3">
      <c r="A60" s="1">
        <v>45604</v>
      </c>
      <c r="B60">
        <v>422.54</v>
      </c>
      <c r="C60">
        <f t="shared" si="0"/>
        <v>-6.8163052692757501E-3</v>
      </c>
    </row>
    <row r="61" spans="1:3">
      <c r="A61" s="1">
        <v>45607</v>
      </c>
      <c r="B61">
        <v>418.01</v>
      </c>
      <c r="C61">
        <f t="shared" si="0"/>
        <v>-1.0778761188517328E-2</v>
      </c>
    </row>
    <row r="62" spans="1:3">
      <c r="A62" s="1">
        <v>45608</v>
      </c>
      <c r="B62">
        <v>423.03</v>
      </c>
      <c r="C62">
        <f t="shared" si="0"/>
        <v>1.1937742833676979E-2</v>
      </c>
    </row>
    <row r="63" spans="1:3">
      <c r="A63" s="1">
        <v>45609</v>
      </c>
      <c r="B63">
        <v>425.2</v>
      </c>
      <c r="C63">
        <f t="shared" si="0"/>
        <v>5.1165479505444512E-3</v>
      </c>
    </row>
    <row r="64" spans="1:3">
      <c r="A64" s="1">
        <v>45610</v>
      </c>
      <c r="B64">
        <v>426.89</v>
      </c>
      <c r="C64">
        <f t="shared" si="0"/>
        <v>3.9667223321382299E-3</v>
      </c>
    </row>
    <row r="65" spans="1:3">
      <c r="A65" s="1">
        <v>45611</v>
      </c>
      <c r="B65">
        <v>415</v>
      </c>
      <c r="C65">
        <f t="shared" si="0"/>
        <v>-2.8247848569232886E-2</v>
      </c>
    </row>
    <row r="66" spans="1:3">
      <c r="A66" s="1">
        <v>45614</v>
      </c>
      <c r="B66">
        <v>415.76</v>
      </c>
      <c r="C66">
        <f t="shared" si="0"/>
        <v>1.8296504694880775E-3</v>
      </c>
    </row>
    <row r="67" spans="1:3">
      <c r="A67" s="1">
        <v>45615</v>
      </c>
      <c r="B67">
        <v>417.79</v>
      </c>
      <c r="C67">
        <f t="shared" si="0"/>
        <v>4.8707432387547949E-3</v>
      </c>
    </row>
    <row r="68" spans="1:3">
      <c r="A68" s="1">
        <v>45616</v>
      </c>
      <c r="B68">
        <v>415.49</v>
      </c>
      <c r="C68">
        <f t="shared" ref="C68:C128" si="1">LN(B68/B67)</f>
        <v>-5.5203673217509306E-3</v>
      </c>
    </row>
    <row r="69" spans="1:3">
      <c r="A69" s="1">
        <v>45617</v>
      </c>
      <c r="B69">
        <v>412.87</v>
      </c>
      <c r="C69">
        <f t="shared" si="1"/>
        <v>-6.3257731824115397E-3</v>
      </c>
    </row>
    <row r="70" spans="1:3">
      <c r="A70" s="1">
        <v>45618</v>
      </c>
      <c r="B70">
        <v>417</v>
      </c>
      <c r="C70">
        <f t="shared" si="1"/>
        <v>9.9534483640226559E-3</v>
      </c>
    </row>
    <row r="71" spans="1:3">
      <c r="A71" s="1">
        <v>45621</v>
      </c>
      <c r="B71">
        <v>418.79</v>
      </c>
      <c r="C71">
        <f t="shared" si="1"/>
        <v>4.2833791665618029E-3</v>
      </c>
    </row>
    <row r="72" spans="1:3">
      <c r="A72" s="1">
        <v>45622</v>
      </c>
      <c r="B72">
        <v>427.99</v>
      </c>
      <c r="C72">
        <f t="shared" si="1"/>
        <v>2.1730229857498513E-2</v>
      </c>
    </row>
    <row r="73" spans="1:3">
      <c r="A73" s="1">
        <v>45623</v>
      </c>
      <c r="B73">
        <v>422.99</v>
      </c>
      <c r="C73">
        <f t="shared" si="1"/>
        <v>-1.1751292717967056E-2</v>
      </c>
    </row>
    <row r="74" spans="1:3">
      <c r="A74" s="1">
        <v>45625</v>
      </c>
      <c r="B74">
        <v>423.46</v>
      </c>
      <c r="C74">
        <f t="shared" si="1"/>
        <v>1.1105205228955624E-3</v>
      </c>
    </row>
    <row r="75" spans="1:3">
      <c r="A75" s="1">
        <v>45628</v>
      </c>
      <c r="B75">
        <v>430.98</v>
      </c>
      <c r="C75">
        <f t="shared" si="1"/>
        <v>1.760262668697498E-2</v>
      </c>
    </row>
    <row r="76" spans="1:3">
      <c r="A76" s="1">
        <v>45629</v>
      </c>
      <c r="B76">
        <v>431.2</v>
      </c>
      <c r="C76">
        <f t="shared" si="1"/>
        <v>5.103342800221258E-4</v>
      </c>
    </row>
    <row r="77" spans="1:3">
      <c r="A77" s="1">
        <v>45630</v>
      </c>
      <c r="B77">
        <v>437.42</v>
      </c>
      <c r="C77">
        <f t="shared" si="1"/>
        <v>1.432181233961893E-2</v>
      </c>
    </row>
    <row r="78" spans="1:3">
      <c r="A78" s="1">
        <v>45631</v>
      </c>
      <c r="B78">
        <v>442.62</v>
      </c>
      <c r="C78">
        <f t="shared" si="1"/>
        <v>1.1817782189859459E-2</v>
      </c>
    </row>
    <row r="79" spans="1:3">
      <c r="A79" s="1">
        <v>45632</v>
      </c>
      <c r="B79">
        <v>443.57</v>
      </c>
      <c r="C79">
        <f t="shared" si="1"/>
        <v>2.1440105708975103E-3</v>
      </c>
    </row>
    <row r="80" spans="1:3">
      <c r="A80" s="1">
        <v>45635</v>
      </c>
      <c r="B80">
        <v>446.02</v>
      </c>
      <c r="C80">
        <f t="shared" si="1"/>
        <v>5.5081693688085664E-3</v>
      </c>
    </row>
    <row r="81" spans="1:3">
      <c r="A81" s="1">
        <v>45636</v>
      </c>
      <c r="B81">
        <v>443.33</v>
      </c>
      <c r="C81">
        <f t="shared" si="1"/>
        <v>-6.0493803415409345E-3</v>
      </c>
    </row>
    <row r="82" spans="1:3">
      <c r="A82" s="1">
        <v>45637</v>
      </c>
      <c r="B82">
        <v>448.99</v>
      </c>
      <c r="C82">
        <f t="shared" si="1"/>
        <v>1.2686202056882959E-2</v>
      </c>
    </row>
    <row r="83" spans="1:3">
      <c r="A83" s="1">
        <v>45638</v>
      </c>
      <c r="B83">
        <v>449.56</v>
      </c>
      <c r="C83">
        <f t="shared" si="1"/>
        <v>1.2687108707523317E-3</v>
      </c>
    </row>
    <row r="84" spans="1:3">
      <c r="A84" s="1">
        <v>45639</v>
      </c>
      <c r="B84">
        <v>447.27</v>
      </c>
      <c r="C84">
        <f t="shared" si="1"/>
        <v>-5.106887541648961E-3</v>
      </c>
    </row>
    <row r="85" spans="1:3">
      <c r="A85" s="1">
        <v>45642</v>
      </c>
      <c r="B85">
        <v>451.59</v>
      </c>
      <c r="C85">
        <f t="shared" si="1"/>
        <v>9.6122494321048465E-3</v>
      </c>
    </row>
    <row r="86" spans="1:3">
      <c r="A86" s="1">
        <v>45643</v>
      </c>
      <c r="B86">
        <v>454.46</v>
      </c>
      <c r="C86">
        <f t="shared" si="1"/>
        <v>6.3352124031293821E-3</v>
      </c>
    </row>
    <row r="87" spans="1:3">
      <c r="A87" s="1">
        <v>45644</v>
      </c>
      <c r="B87">
        <v>437.39</v>
      </c>
      <c r="C87">
        <f t="shared" si="1"/>
        <v>-3.8284655330873545E-2</v>
      </c>
    </row>
    <row r="88" spans="1:3">
      <c r="A88" s="1">
        <v>45645</v>
      </c>
      <c r="B88">
        <v>437.03</v>
      </c>
      <c r="C88">
        <f t="shared" si="1"/>
        <v>-8.2340298790001861E-4</v>
      </c>
    </row>
    <row r="89" spans="1:3">
      <c r="A89" s="1">
        <v>45646</v>
      </c>
      <c r="B89">
        <v>436.6</v>
      </c>
      <c r="C89">
        <f t="shared" si="1"/>
        <v>-9.8439850903452616E-4</v>
      </c>
    </row>
    <row r="90" spans="1:3">
      <c r="A90" s="1">
        <v>45649</v>
      </c>
      <c r="B90">
        <v>435.25</v>
      </c>
      <c r="C90">
        <f t="shared" si="1"/>
        <v>-3.0968654675452034E-3</v>
      </c>
    </row>
    <row r="91" spans="1:3">
      <c r="A91" s="1">
        <v>45650</v>
      </c>
      <c r="B91">
        <v>439.33</v>
      </c>
      <c r="C91">
        <f t="shared" si="1"/>
        <v>9.3302604638468636E-3</v>
      </c>
    </row>
    <row r="92" spans="1:3">
      <c r="A92" s="1">
        <v>45652</v>
      </c>
      <c r="B92">
        <v>438.11</v>
      </c>
      <c r="C92">
        <f t="shared" si="1"/>
        <v>-2.780818713948305E-3</v>
      </c>
    </row>
    <row r="93" spans="1:3">
      <c r="A93" s="1">
        <v>45653</v>
      </c>
      <c r="B93">
        <v>430.53</v>
      </c>
      <c r="C93">
        <f t="shared" si="1"/>
        <v>-1.7453012547246734E-2</v>
      </c>
    </row>
    <row r="94" spans="1:3">
      <c r="A94" s="1">
        <v>45656</v>
      </c>
      <c r="B94">
        <v>424.83</v>
      </c>
      <c r="C94">
        <f t="shared" si="1"/>
        <v>-1.3327918947873099E-2</v>
      </c>
    </row>
    <row r="95" spans="1:3">
      <c r="A95" s="1">
        <v>45657</v>
      </c>
      <c r="B95">
        <v>421.5</v>
      </c>
      <c r="C95">
        <f t="shared" si="1"/>
        <v>-7.8693114611669106E-3</v>
      </c>
    </row>
    <row r="96" spans="1:3">
      <c r="A96" s="1">
        <v>45659</v>
      </c>
      <c r="B96">
        <v>418.58</v>
      </c>
      <c r="C96">
        <f t="shared" si="1"/>
        <v>-6.9517468800784493E-3</v>
      </c>
    </row>
    <row r="97" spans="1:3">
      <c r="A97" s="1">
        <v>45660</v>
      </c>
      <c r="B97">
        <v>423.35</v>
      </c>
      <c r="C97">
        <f t="shared" si="1"/>
        <v>1.1331229526454522E-2</v>
      </c>
    </row>
    <row r="98" spans="1:3">
      <c r="A98" s="1">
        <v>45663</v>
      </c>
      <c r="B98">
        <v>427.85</v>
      </c>
      <c r="C98">
        <f t="shared" si="1"/>
        <v>1.057340677577758E-2</v>
      </c>
    </row>
    <row r="99" spans="1:3">
      <c r="A99" s="1">
        <v>45664</v>
      </c>
      <c r="B99">
        <v>422.37</v>
      </c>
      <c r="C99">
        <f t="shared" si="1"/>
        <v>-1.2890959721518212E-2</v>
      </c>
    </row>
    <row r="100" spans="1:3">
      <c r="A100" s="1">
        <v>45665</v>
      </c>
      <c r="B100">
        <v>424.56</v>
      </c>
      <c r="C100">
        <f t="shared" si="1"/>
        <v>5.1716313770938417E-3</v>
      </c>
    </row>
    <row r="101" spans="1:3">
      <c r="A101" s="1">
        <v>45667</v>
      </c>
      <c r="B101">
        <v>418.95</v>
      </c>
      <c r="C101">
        <f t="shared" si="1"/>
        <v>-1.3301757460344052E-2</v>
      </c>
    </row>
    <row r="102" spans="1:3">
      <c r="A102" s="1">
        <v>45670</v>
      </c>
      <c r="B102">
        <v>417.19</v>
      </c>
      <c r="C102">
        <f t="shared" si="1"/>
        <v>-4.209827539218081E-3</v>
      </c>
    </row>
    <row r="103" spans="1:3">
      <c r="A103" s="1">
        <v>45671</v>
      </c>
      <c r="B103">
        <v>415.67</v>
      </c>
      <c r="C103">
        <f t="shared" si="1"/>
        <v>-3.6500772941136213E-3</v>
      </c>
    </row>
    <row r="104" spans="1:3">
      <c r="A104" s="1">
        <v>45672</v>
      </c>
      <c r="B104">
        <v>426.31</v>
      </c>
      <c r="C104">
        <f t="shared" si="1"/>
        <v>2.5275104928999953E-2</v>
      </c>
    </row>
    <row r="105" spans="1:3">
      <c r="A105" s="1">
        <v>45673</v>
      </c>
      <c r="B105">
        <v>424.58</v>
      </c>
      <c r="C105">
        <f t="shared" si="1"/>
        <v>-4.066336151107945E-3</v>
      </c>
    </row>
    <row r="106" spans="1:3">
      <c r="A106" s="1">
        <v>45674</v>
      </c>
      <c r="B106">
        <v>429.03</v>
      </c>
      <c r="C106">
        <f t="shared" si="1"/>
        <v>1.0426401549097972E-2</v>
      </c>
    </row>
    <row r="107" spans="1:3">
      <c r="A107" s="1">
        <v>45678</v>
      </c>
      <c r="B107">
        <v>428.5</v>
      </c>
      <c r="C107">
        <f t="shared" si="1"/>
        <v>-1.236108515119177E-3</v>
      </c>
    </row>
    <row r="108" spans="1:3">
      <c r="A108" s="1">
        <v>45679</v>
      </c>
      <c r="B108">
        <v>446.2</v>
      </c>
      <c r="C108">
        <f t="shared" si="1"/>
        <v>4.0476543960597577E-2</v>
      </c>
    </row>
    <row r="109" spans="1:3">
      <c r="A109" s="1">
        <v>45680</v>
      </c>
      <c r="B109">
        <v>446.71</v>
      </c>
      <c r="C109">
        <f t="shared" si="1"/>
        <v>1.142332498144708E-3</v>
      </c>
    </row>
    <row r="110" spans="1:3">
      <c r="A110" s="1">
        <v>45681</v>
      </c>
      <c r="B110">
        <v>444.06</v>
      </c>
      <c r="C110">
        <f t="shared" si="1"/>
        <v>-5.9499260591469177E-3</v>
      </c>
    </row>
    <row r="111" spans="1:3">
      <c r="A111" s="1">
        <v>45684</v>
      </c>
      <c r="B111">
        <v>434.56</v>
      </c>
      <c r="C111">
        <f t="shared" si="1"/>
        <v>-2.1625663507153406E-2</v>
      </c>
    </row>
    <row r="112" spans="1:3">
      <c r="A112" s="1">
        <v>45685</v>
      </c>
      <c r="B112">
        <v>447.2</v>
      </c>
      <c r="C112">
        <f t="shared" si="1"/>
        <v>2.8671896910612688E-2</v>
      </c>
    </row>
    <row r="113" spans="1:3">
      <c r="A113" s="1">
        <v>45686</v>
      </c>
      <c r="B113">
        <v>442.33</v>
      </c>
      <c r="C113">
        <f t="shared" si="1"/>
        <v>-1.0949712000212162E-2</v>
      </c>
    </row>
    <row r="114" spans="1:3">
      <c r="A114" s="1">
        <v>45687</v>
      </c>
      <c r="B114">
        <v>414.99</v>
      </c>
      <c r="C114">
        <f t="shared" si="1"/>
        <v>-6.3801786285843556E-2</v>
      </c>
    </row>
    <row r="115" spans="1:3">
      <c r="A115" s="1">
        <v>45688</v>
      </c>
      <c r="B115">
        <v>415.06</v>
      </c>
      <c r="C115">
        <f t="shared" si="1"/>
        <v>1.6866453868067421E-4</v>
      </c>
    </row>
    <row r="116" spans="1:3">
      <c r="A116" s="1">
        <v>45691</v>
      </c>
      <c r="B116">
        <v>410.92</v>
      </c>
      <c r="C116">
        <f t="shared" si="1"/>
        <v>-1.0024539745451297E-2</v>
      </c>
    </row>
    <row r="117" spans="1:3">
      <c r="A117" s="1">
        <v>45692</v>
      </c>
      <c r="B117">
        <v>412.37</v>
      </c>
      <c r="C117">
        <f t="shared" si="1"/>
        <v>3.5224562408462663E-3</v>
      </c>
    </row>
    <row r="118" spans="1:3">
      <c r="A118" s="1">
        <v>45693</v>
      </c>
      <c r="B118">
        <v>413.29</v>
      </c>
      <c r="C118">
        <f t="shared" si="1"/>
        <v>2.2285211364244705E-3</v>
      </c>
    </row>
    <row r="119" spans="1:3">
      <c r="A119" s="1">
        <v>45694</v>
      </c>
      <c r="B119">
        <v>415.82</v>
      </c>
      <c r="C119">
        <f t="shared" si="1"/>
        <v>6.1029485899084931E-3</v>
      </c>
    </row>
    <row r="120" spans="1:3">
      <c r="A120" s="1">
        <v>45695</v>
      </c>
      <c r="B120">
        <v>409.75</v>
      </c>
      <c r="C120">
        <f t="shared" si="1"/>
        <v>-1.4705256691303348E-2</v>
      </c>
    </row>
    <row r="121" spans="1:3">
      <c r="A121" s="1">
        <v>45698</v>
      </c>
      <c r="B121">
        <v>412.22</v>
      </c>
      <c r="C121">
        <f t="shared" si="1"/>
        <v>6.0099697912124102E-3</v>
      </c>
    </row>
    <row r="122" spans="1:3">
      <c r="A122" s="1">
        <v>45699</v>
      </c>
      <c r="B122">
        <v>411.44</v>
      </c>
      <c r="C122">
        <f t="shared" si="1"/>
        <v>-1.8939859484906557E-3</v>
      </c>
    </row>
    <row r="123" spans="1:3">
      <c r="A123" s="1">
        <v>45700</v>
      </c>
      <c r="B123">
        <v>409.04</v>
      </c>
      <c r="C123">
        <f t="shared" si="1"/>
        <v>-5.8502506949169517E-3</v>
      </c>
    </row>
    <row r="124" spans="1:3">
      <c r="A124" s="1">
        <v>45701</v>
      </c>
      <c r="B124">
        <v>410.54</v>
      </c>
      <c r="C124">
        <f t="shared" si="1"/>
        <v>3.6604155172889801E-3</v>
      </c>
    </row>
    <row r="125" spans="1:3">
      <c r="A125" s="1">
        <v>45702</v>
      </c>
      <c r="B125">
        <v>408.43</v>
      </c>
      <c r="C125">
        <f t="shared" si="1"/>
        <v>-5.15282530167358E-3</v>
      </c>
    </row>
    <row r="126" spans="1:3">
      <c r="A126" s="1">
        <v>45706</v>
      </c>
      <c r="B126">
        <v>409.64</v>
      </c>
      <c r="C126">
        <f t="shared" si="1"/>
        <v>2.9581842198776473E-3</v>
      </c>
    </row>
    <row r="127" spans="1:3">
      <c r="A127" s="1">
        <v>45707</v>
      </c>
      <c r="B127">
        <v>414.77</v>
      </c>
      <c r="C127">
        <f t="shared" si="1"/>
        <v>1.24454245210562E-2</v>
      </c>
    </row>
    <row r="128" spans="1:3">
      <c r="A128" s="1">
        <v>45708</v>
      </c>
      <c r="B128">
        <v>416.13</v>
      </c>
      <c r="C128">
        <f t="shared" si="1"/>
        <v>3.2735617150155796E-3</v>
      </c>
    </row>
  </sheetData>
  <sortState xmlns:xlrd2="http://schemas.microsoft.com/office/spreadsheetml/2017/richdata2" ref="A2:B128">
    <sortCondition ref="A1:A12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BCC85-C997-483F-BDFB-963B7C5A022E}">
  <sheetPr codeName="Sheet3"/>
  <dimension ref="A1:F128"/>
  <sheetViews>
    <sheetView workbookViewId="0">
      <selection activeCell="E10" sqref="E10:F14"/>
    </sheetView>
  </sheetViews>
  <sheetFormatPr baseColWidth="10" defaultColWidth="8.83203125" defaultRowHeight="15"/>
  <cols>
    <col min="1" max="1" width="28.1640625" customWidth="1"/>
    <col min="3" max="3" width="18.5" customWidth="1"/>
    <col min="4" max="4" width="32" customWidth="1"/>
    <col min="5" max="5" width="25.5" customWidth="1"/>
    <col min="6" max="6" width="37.1640625" customWidth="1"/>
  </cols>
  <sheetData>
    <row r="1" spans="1:6">
      <c r="A1" t="s">
        <v>0</v>
      </c>
      <c r="B1" t="s">
        <v>1</v>
      </c>
      <c r="C1" t="s">
        <v>2</v>
      </c>
    </row>
    <row r="2" spans="1:6">
      <c r="A2" s="1">
        <v>45523</v>
      </c>
      <c r="B2">
        <v>529.28</v>
      </c>
    </row>
    <row r="3" spans="1:6">
      <c r="A3" s="1">
        <v>45524</v>
      </c>
      <c r="B3">
        <v>526.73</v>
      </c>
      <c r="C3">
        <f>LN(B3/B2)</f>
        <v>-4.8295091076441653E-3</v>
      </c>
      <c r="F3" s="3"/>
    </row>
    <row r="4" spans="1:6">
      <c r="A4" s="1">
        <v>45525</v>
      </c>
      <c r="B4">
        <v>535.16</v>
      </c>
      <c r="C4">
        <f t="shared" ref="C4:C67" si="0">LN(B4/B3)</f>
        <v>1.5877684317790797E-2</v>
      </c>
    </row>
    <row r="5" spans="1:6">
      <c r="A5" s="1">
        <v>45526</v>
      </c>
      <c r="B5">
        <v>531.92999999999995</v>
      </c>
      <c r="C5">
        <f t="shared" si="0"/>
        <v>-6.0538658684117256E-3</v>
      </c>
    </row>
    <row r="6" spans="1:6">
      <c r="A6" s="1">
        <v>45527</v>
      </c>
      <c r="B6">
        <v>528</v>
      </c>
      <c r="C6">
        <f t="shared" si="0"/>
        <v>-7.4156180307452914E-3</v>
      </c>
    </row>
    <row r="7" spans="1:6">
      <c r="A7" s="1">
        <v>45530</v>
      </c>
      <c r="B7">
        <v>521.12</v>
      </c>
      <c r="C7">
        <f t="shared" si="0"/>
        <v>-1.3115942178338141E-2</v>
      </c>
    </row>
    <row r="8" spans="1:6">
      <c r="A8" s="1">
        <v>45531</v>
      </c>
      <c r="B8">
        <v>519.1</v>
      </c>
      <c r="C8">
        <f t="shared" si="0"/>
        <v>-3.8837986947399517E-3</v>
      </c>
    </row>
    <row r="9" spans="1:6">
      <c r="A9" s="1">
        <v>45532</v>
      </c>
      <c r="B9">
        <v>516.78</v>
      </c>
      <c r="C9">
        <f t="shared" si="0"/>
        <v>-4.4792908040461677E-3</v>
      </c>
    </row>
    <row r="10" spans="1:6">
      <c r="A10" s="1">
        <v>45533</v>
      </c>
      <c r="B10">
        <v>518.22</v>
      </c>
      <c r="C10">
        <f t="shared" si="0"/>
        <v>2.7826104911119818E-3</v>
      </c>
      <c r="E10" s="4" t="s">
        <v>5</v>
      </c>
      <c r="F10" s="4">
        <f>_xlfn.STDEV.S(C3:C128)</f>
        <v>1.5608801783776429E-2</v>
      </c>
    </row>
    <row r="11" spans="1:6">
      <c r="A11" s="1">
        <v>45534</v>
      </c>
      <c r="B11">
        <v>521.30999999999995</v>
      </c>
      <c r="C11">
        <f t="shared" si="0"/>
        <v>5.9450118820233789E-3</v>
      </c>
      <c r="E11" s="4" t="s">
        <v>6</v>
      </c>
      <c r="F11" s="4">
        <f>F10*SQRT(252)</f>
        <v>0.24778204670144285</v>
      </c>
    </row>
    <row r="12" spans="1:6">
      <c r="A12" s="1">
        <v>45538</v>
      </c>
      <c r="B12">
        <v>511.76</v>
      </c>
      <c r="C12">
        <f t="shared" si="0"/>
        <v>-1.8489109260390428E-2</v>
      </c>
      <c r="E12" s="4" t="s">
        <v>4</v>
      </c>
      <c r="F12" s="5" cm="1">
        <f t="array" ref="F12">CalculateCAGR(B3,B128,1)</f>
        <v>0.3191578227934615</v>
      </c>
    </row>
    <row r="13" spans="1:6">
      <c r="A13" s="1">
        <v>45539</v>
      </c>
      <c r="B13">
        <v>512.74</v>
      </c>
      <c r="C13">
        <f t="shared" si="0"/>
        <v>1.9131289388093699E-3</v>
      </c>
      <c r="E13" s="4" t="s">
        <v>9</v>
      </c>
      <c r="F13" s="4">
        <f>AVERAGE(C3:C128)</f>
        <v>2.1600318320512037E-3</v>
      </c>
    </row>
    <row r="14" spans="1:6">
      <c r="A14" s="1">
        <v>45540</v>
      </c>
      <c r="B14">
        <v>516.86</v>
      </c>
      <c r="C14">
        <f t="shared" si="0"/>
        <v>8.0031507199325464E-3</v>
      </c>
      <c r="E14" s="4" t="s">
        <v>10</v>
      </c>
      <c r="F14" s="4">
        <f>F13*252</f>
        <v>0.54432802167690331</v>
      </c>
    </row>
    <row r="15" spans="1:6">
      <c r="A15" s="1">
        <v>45541</v>
      </c>
      <c r="B15">
        <v>500.27</v>
      </c>
      <c r="C15">
        <f t="shared" si="0"/>
        <v>-3.2624092125965537E-2</v>
      </c>
    </row>
    <row r="16" spans="1:6">
      <c r="A16" s="1">
        <v>45544</v>
      </c>
      <c r="B16">
        <v>504.79</v>
      </c>
      <c r="C16">
        <f t="shared" si="0"/>
        <v>8.9945485304542168E-3</v>
      </c>
    </row>
    <row r="17" spans="1:3">
      <c r="A17" s="1">
        <v>45545</v>
      </c>
      <c r="B17">
        <v>504.79</v>
      </c>
      <c r="C17">
        <f t="shared" si="0"/>
        <v>0</v>
      </c>
    </row>
    <row r="18" spans="1:3">
      <c r="A18" s="1">
        <v>45546</v>
      </c>
      <c r="B18">
        <v>511.83</v>
      </c>
      <c r="C18">
        <f t="shared" si="0"/>
        <v>1.3850037449815018E-2</v>
      </c>
    </row>
    <row r="19" spans="1:3">
      <c r="A19" s="1">
        <v>45547</v>
      </c>
      <c r="B19">
        <v>525.6</v>
      </c>
      <c r="C19">
        <f t="shared" si="0"/>
        <v>2.6547928515473072E-2</v>
      </c>
    </row>
    <row r="20" spans="1:3">
      <c r="A20" s="1">
        <v>45548</v>
      </c>
      <c r="B20">
        <v>524.62</v>
      </c>
      <c r="C20">
        <f t="shared" si="0"/>
        <v>-1.8662761791699632E-3</v>
      </c>
    </row>
    <row r="21" spans="1:3">
      <c r="A21" s="1">
        <v>45551</v>
      </c>
      <c r="B21">
        <v>533.28</v>
      </c>
      <c r="C21">
        <f t="shared" si="0"/>
        <v>1.6372423568198735E-2</v>
      </c>
    </row>
    <row r="22" spans="1:3">
      <c r="A22" s="1">
        <v>45552</v>
      </c>
      <c r="B22">
        <v>536.31500000000005</v>
      </c>
      <c r="C22">
        <f t="shared" si="0"/>
        <v>5.6750604584137549E-3</v>
      </c>
    </row>
    <row r="23" spans="1:3">
      <c r="A23" s="1">
        <v>45553</v>
      </c>
      <c r="B23">
        <v>537.95000000000005</v>
      </c>
      <c r="C23">
        <f t="shared" si="0"/>
        <v>3.0439440220749129E-3</v>
      </c>
    </row>
    <row r="24" spans="1:3">
      <c r="A24" s="1">
        <v>45554</v>
      </c>
      <c r="B24">
        <v>559.1</v>
      </c>
      <c r="C24">
        <f t="shared" si="0"/>
        <v>3.8562728992681407E-2</v>
      </c>
    </row>
    <row r="25" spans="1:3">
      <c r="A25" s="1">
        <v>45555</v>
      </c>
      <c r="B25">
        <v>561.35</v>
      </c>
      <c r="C25">
        <f t="shared" si="0"/>
        <v>4.0162488721888915E-3</v>
      </c>
    </row>
    <row r="26" spans="1:3">
      <c r="A26" s="1">
        <v>45558</v>
      </c>
      <c r="B26">
        <v>564.41</v>
      </c>
      <c r="C26">
        <f t="shared" si="0"/>
        <v>5.4363408474554795E-3</v>
      </c>
    </row>
    <row r="27" spans="1:3">
      <c r="A27" s="1">
        <v>45559</v>
      </c>
      <c r="B27">
        <v>563.33000000000004</v>
      </c>
      <c r="C27">
        <f t="shared" si="0"/>
        <v>-1.915335680504168E-3</v>
      </c>
    </row>
    <row r="28" spans="1:3">
      <c r="A28" s="1">
        <v>45560</v>
      </c>
      <c r="B28">
        <v>568.30999999999995</v>
      </c>
      <c r="C28">
        <f t="shared" si="0"/>
        <v>8.801442416483566E-3</v>
      </c>
    </row>
    <row r="29" spans="1:3">
      <c r="A29" s="1">
        <v>45561</v>
      </c>
      <c r="B29">
        <v>567.84</v>
      </c>
      <c r="C29">
        <f t="shared" si="0"/>
        <v>-8.2735559003679915E-4</v>
      </c>
    </row>
    <row r="30" spans="1:3">
      <c r="A30" s="1">
        <v>45562</v>
      </c>
      <c r="B30">
        <v>567.36</v>
      </c>
      <c r="C30">
        <f t="shared" si="0"/>
        <v>-8.4566601234325805E-4</v>
      </c>
    </row>
    <row r="31" spans="1:3">
      <c r="A31" s="1">
        <v>45565</v>
      </c>
      <c r="B31">
        <v>572.44000000000005</v>
      </c>
      <c r="C31">
        <f t="shared" si="0"/>
        <v>8.9139035568321732E-3</v>
      </c>
    </row>
    <row r="32" spans="1:3">
      <c r="A32" s="1">
        <v>45566</v>
      </c>
      <c r="B32">
        <v>576.47</v>
      </c>
      <c r="C32">
        <f t="shared" si="0"/>
        <v>7.0153737510882472E-3</v>
      </c>
    </row>
    <row r="33" spans="1:3">
      <c r="A33" s="1">
        <v>45567</v>
      </c>
      <c r="B33">
        <v>572.80999999999995</v>
      </c>
      <c r="C33">
        <f t="shared" si="0"/>
        <v>-6.3692265991598584E-3</v>
      </c>
    </row>
    <row r="34" spans="1:3">
      <c r="A34" s="1">
        <v>45568</v>
      </c>
      <c r="B34">
        <v>582.77</v>
      </c>
      <c r="C34">
        <f t="shared" si="0"/>
        <v>1.7238523766664158E-2</v>
      </c>
    </row>
    <row r="35" spans="1:3">
      <c r="A35" s="1">
        <v>45569</v>
      </c>
      <c r="B35">
        <v>595.94000000000005</v>
      </c>
      <c r="C35">
        <f t="shared" si="0"/>
        <v>2.2347393495463202E-2</v>
      </c>
    </row>
    <row r="36" spans="1:3">
      <c r="A36" s="1">
        <v>45572</v>
      </c>
      <c r="B36">
        <v>584.78</v>
      </c>
      <c r="C36">
        <f t="shared" si="0"/>
        <v>-1.8904282732388328E-2</v>
      </c>
    </row>
    <row r="37" spans="1:3">
      <c r="A37" s="1">
        <v>45573</v>
      </c>
      <c r="B37">
        <v>592.89</v>
      </c>
      <c r="C37">
        <f t="shared" si="0"/>
        <v>1.3773176196110088E-2</v>
      </c>
    </row>
    <row r="38" spans="1:3">
      <c r="A38" s="1">
        <v>45574</v>
      </c>
      <c r="B38">
        <v>590.51</v>
      </c>
      <c r="C38">
        <f t="shared" si="0"/>
        <v>-4.0223140254117074E-3</v>
      </c>
    </row>
    <row r="39" spans="1:3">
      <c r="A39" s="1">
        <v>45575</v>
      </c>
      <c r="B39">
        <v>583.83000000000004</v>
      </c>
      <c r="C39">
        <f t="shared" si="0"/>
        <v>-1.1376725733857463E-2</v>
      </c>
    </row>
    <row r="40" spans="1:3">
      <c r="A40" s="1">
        <v>45576</v>
      </c>
      <c r="B40">
        <v>589.95000000000005</v>
      </c>
      <c r="C40">
        <f t="shared" si="0"/>
        <v>1.0427942984744859E-2</v>
      </c>
    </row>
    <row r="41" spans="1:3">
      <c r="A41" s="1">
        <v>45579</v>
      </c>
      <c r="B41">
        <v>590.41999999999996</v>
      </c>
      <c r="C41">
        <f t="shared" si="0"/>
        <v>7.9636050533141297E-4</v>
      </c>
    </row>
    <row r="42" spans="1:3">
      <c r="A42" s="1">
        <v>45580</v>
      </c>
      <c r="B42">
        <v>586.27</v>
      </c>
      <c r="C42">
        <f t="shared" si="0"/>
        <v>-7.0537137340859818E-3</v>
      </c>
    </row>
    <row r="43" spans="1:3">
      <c r="A43" s="1">
        <v>45581</v>
      </c>
      <c r="B43">
        <v>576.79</v>
      </c>
      <c r="C43">
        <f t="shared" si="0"/>
        <v>-1.6302185528622715E-2</v>
      </c>
    </row>
    <row r="44" spans="1:3">
      <c r="A44" s="1">
        <v>45582</v>
      </c>
      <c r="B44">
        <v>576.92999999999995</v>
      </c>
      <c r="C44">
        <f t="shared" si="0"/>
        <v>2.4269320231457711E-4</v>
      </c>
    </row>
    <row r="45" spans="1:3">
      <c r="A45" s="1">
        <v>45583</v>
      </c>
      <c r="B45">
        <v>576.47</v>
      </c>
      <c r="C45">
        <f t="shared" si="0"/>
        <v>-7.976417971022299E-4</v>
      </c>
    </row>
    <row r="46" spans="1:3">
      <c r="A46" s="1">
        <v>45586</v>
      </c>
      <c r="B46">
        <v>575.16</v>
      </c>
      <c r="C46">
        <f t="shared" si="0"/>
        <v>-2.275037234223207E-3</v>
      </c>
    </row>
    <row r="47" spans="1:3">
      <c r="A47" s="1">
        <v>45587</v>
      </c>
      <c r="B47">
        <v>582.01</v>
      </c>
      <c r="C47">
        <f t="shared" si="0"/>
        <v>1.1839366754870771E-2</v>
      </c>
    </row>
    <row r="48" spans="1:3">
      <c r="A48" s="1">
        <v>45588</v>
      </c>
      <c r="B48">
        <v>563.69000000000005</v>
      </c>
      <c r="C48">
        <f t="shared" si="0"/>
        <v>-3.1983174716824138E-2</v>
      </c>
    </row>
    <row r="49" spans="1:3">
      <c r="A49" s="1">
        <v>45589</v>
      </c>
      <c r="B49">
        <v>567.78</v>
      </c>
      <c r="C49">
        <f t="shared" si="0"/>
        <v>7.2295647506094834E-3</v>
      </c>
    </row>
    <row r="50" spans="1:3">
      <c r="A50" s="1">
        <v>45590</v>
      </c>
      <c r="B50">
        <v>573.25</v>
      </c>
      <c r="C50">
        <f t="shared" si="0"/>
        <v>9.5879019898175901E-3</v>
      </c>
    </row>
    <row r="51" spans="1:3">
      <c r="A51" s="1">
        <v>45593</v>
      </c>
      <c r="B51">
        <v>578.16</v>
      </c>
      <c r="C51">
        <f t="shared" si="0"/>
        <v>8.5287252367117952E-3</v>
      </c>
    </row>
    <row r="52" spans="1:3">
      <c r="A52" s="1">
        <v>45594</v>
      </c>
      <c r="B52">
        <v>593.28</v>
      </c>
      <c r="C52">
        <f t="shared" si="0"/>
        <v>2.5815815962710129E-2</v>
      </c>
    </row>
    <row r="53" spans="1:3">
      <c r="A53" s="1">
        <v>45595</v>
      </c>
      <c r="B53">
        <v>591.79999999999995</v>
      </c>
      <c r="C53">
        <f t="shared" si="0"/>
        <v>-2.4977229713264363E-3</v>
      </c>
    </row>
    <row r="54" spans="1:3">
      <c r="A54" s="1">
        <v>45596</v>
      </c>
      <c r="B54">
        <v>567.58000000000004</v>
      </c>
      <c r="C54">
        <f t="shared" si="0"/>
        <v>-4.1787031382774537E-2</v>
      </c>
    </row>
    <row r="55" spans="1:3">
      <c r="A55" s="1">
        <v>45597</v>
      </c>
      <c r="B55">
        <v>567.16</v>
      </c>
      <c r="C55">
        <f t="shared" si="0"/>
        <v>-7.4025771397754161E-4</v>
      </c>
    </row>
    <row r="56" spans="1:3">
      <c r="A56" s="1">
        <v>45600</v>
      </c>
      <c r="B56">
        <v>560.67999999999995</v>
      </c>
      <c r="C56">
        <f t="shared" si="0"/>
        <v>-1.1491118074500286E-2</v>
      </c>
    </row>
    <row r="57" spans="1:3">
      <c r="A57" s="1">
        <v>45601</v>
      </c>
      <c r="B57">
        <v>572.42999999999995</v>
      </c>
      <c r="C57">
        <f t="shared" si="0"/>
        <v>2.0740124415503054E-2</v>
      </c>
    </row>
    <row r="58" spans="1:3">
      <c r="A58" s="1">
        <v>45602</v>
      </c>
      <c r="B58">
        <v>572.04999999999995</v>
      </c>
      <c r="C58">
        <f t="shared" si="0"/>
        <v>-6.6405706340718002E-4</v>
      </c>
    </row>
    <row r="59" spans="1:3">
      <c r="A59" s="1">
        <v>45603</v>
      </c>
      <c r="B59">
        <v>591.70000000000005</v>
      </c>
      <c r="C59">
        <f t="shared" si="0"/>
        <v>3.3773349535695593E-2</v>
      </c>
    </row>
    <row r="60" spans="1:3">
      <c r="A60" s="1">
        <v>45604</v>
      </c>
      <c r="B60">
        <v>589.34</v>
      </c>
      <c r="C60">
        <f t="shared" si="0"/>
        <v>-3.9964829999573868E-3</v>
      </c>
    </row>
    <row r="61" spans="1:3">
      <c r="A61" s="1">
        <v>45607</v>
      </c>
      <c r="B61">
        <v>583.16999999999996</v>
      </c>
      <c r="C61">
        <f t="shared" si="0"/>
        <v>-1.0524527640559894E-2</v>
      </c>
    </row>
    <row r="62" spans="1:3">
      <c r="A62" s="1">
        <v>45608</v>
      </c>
      <c r="B62">
        <v>584.82000000000005</v>
      </c>
      <c r="C62">
        <f t="shared" si="0"/>
        <v>2.825368535042679E-3</v>
      </c>
    </row>
    <row r="63" spans="1:3">
      <c r="A63" s="1">
        <v>45609</v>
      </c>
      <c r="B63">
        <v>580</v>
      </c>
      <c r="C63">
        <f t="shared" si="0"/>
        <v>-8.2760040367087385E-3</v>
      </c>
    </row>
    <row r="64" spans="1:3">
      <c r="A64" s="1">
        <v>45610</v>
      </c>
      <c r="B64">
        <v>577.16</v>
      </c>
      <c r="C64">
        <f t="shared" si="0"/>
        <v>-4.9085791114100415E-3</v>
      </c>
    </row>
    <row r="65" spans="1:3">
      <c r="A65" s="1">
        <v>45611</v>
      </c>
      <c r="B65">
        <v>554.08000000000004</v>
      </c>
      <c r="C65">
        <f t="shared" si="0"/>
        <v>-4.0810443774943021E-2</v>
      </c>
    </row>
    <row r="66" spans="1:3">
      <c r="A66" s="1">
        <v>45614</v>
      </c>
      <c r="B66">
        <v>554.4</v>
      </c>
      <c r="C66">
        <f t="shared" si="0"/>
        <v>5.7736722158164059E-4</v>
      </c>
    </row>
    <row r="67" spans="1:3">
      <c r="A67" s="1">
        <v>45615</v>
      </c>
      <c r="B67">
        <v>561.09</v>
      </c>
      <c r="C67">
        <f t="shared" si="0"/>
        <v>1.1994872587325069E-2</v>
      </c>
    </row>
    <row r="68" spans="1:3">
      <c r="A68" s="1">
        <v>45616</v>
      </c>
      <c r="B68">
        <v>565.52</v>
      </c>
      <c r="C68">
        <f t="shared" ref="C68:C128" si="1">LN(B68/B67)</f>
        <v>7.8643413996802407E-3</v>
      </c>
    </row>
    <row r="69" spans="1:3">
      <c r="A69" s="1">
        <v>45617</v>
      </c>
      <c r="B69">
        <v>563.09</v>
      </c>
      <c r="C69">
        <f t="shared" si="1"/>
        <v>-4.3061885948360717E-3</v>
      </c>
    </row>
    <row r="70" spans="1:3">
      <c r="A70" s="1">
        <v>45618</v>
      </c>
      <c r="B70">
        <v>559.14</v>
      </c>
      <c r="C70">
        <f t="shared" si="1"/>
        <v>-7.0395842422433944E-3</v>
      </c>
    </row>
    <row r="71" spans="1:3">
      <c r="A71" s="1">
        <v>45621</v>
      </c>
      <c r="B71">
        <v>565.11</v>
      </c>
      <c r="C71">
        <f t="shared" si="1"/>
        <v>1.0620513436618361E-2</v>
      </c>
    </row>
    <row r="72" spans="1:3">
      <c r="A72" s="1">
        <v>45622</v>
      </c>
      <c r="B72">
        <v>573.54</v>
      </c>
      <c r="C72">
        <f t="shared" si="1"/>
        <v>1.4807278841488754E-2</v>
      </c>
    </row>
    <row r="73" spans="1:3">
      <c r="A73" s="1">
        <v>45623</v>
      </c>
      <c r="B73">
        <v>569.20000000000005</v>
      </c>
      <c r="C73">
        <f t="shared" si="1"/>
        <v>-7.5958150880287402E-3</v>
      </c>
    </row>
    <row r="74" spans="1:3">
      <c r="A74" s="1">
        <v>45625</v>
      </c>
      <c r="B74">
        <v>574.32000000000005</v>
      </c>
      <c r="C74">
        <f t="shared" si="1"/>
        <v>8.954866052530373E-3</v>
      </c>
    </row>
    <row r="75" spans="1:3">
      <c r="A75" s="1">
        <v>45628</v>
      </c>
      <c r="B75">
        <v>592.83000000000004</v>
      </c>
      <c r="C75">
        <f t="shared" si="1"/>
        <v>3.1720947720593397E-2</v>
      </c>
    </row>
    <row r="76" spans="1:3">
      <c r="A76" s="1">
        <v>45629</v>
      </c>
      <c r="B76">
        <v>613.65</v>
      </c>
      <c r="C76">
        <f t="shared" si="1"/>
        <v>3.4517053054696281E-2</v>
      </c>
    </row>
    <row r="77" spans="1:3">
      <c r="A77" s="1">
        <v>45630</v>
      </c>
      <c r="B77">
        <v>613.78</v>
      </c>
      <c r="C77">
        <f t="shared" si="1"/>
        <v>2.1182470769990158E-4</v>
      </c>
    </row>
    <row r="78" spans="1:3">
      <c r="A78" s="1">
        <v>45631</v>
      </c>
      <c r="B78">
        <v>608.92999999999995</v>
      </c>
      <c r="C78">
        <f t="shared" si="1"/>
        <v>-7.9332391764546269E-3</v>
      </c>
    </row>
    <row r="79" spans="1:3">
      <c r="A79" s="1">
        <v>45632</v>
      </c>
      <c r="B79">
        <v>623.77</v>
      </c>
      <c r="C79">
        <f t="shared" si="1"/>
        <v>2.4078392105179123E-2</v>
      </c>
    </row>
    <row r="80" spans="1:3">
      <c r="A80" s="1">
        <v>45635</v>
      </c>
      <c r="B80">
        <v>613.57000000000005</v>
      </c>
      <c r="C80">
        <f t="shared" si="1"/>
        <v>-1.6487353608317438E-2</v>
      </c>
    </row>
    <row r="81" spans="1:3">
      <c r="A81" s="1">
        <v>45636</v>
      </c>
      <c r="B81">
        <v>619.32000000000005</v>
      </c>
      <c r="C81">
        <f t="shared" si="1"/>
        <v>9.3277448770118787E-3</v>
      </c>
    </row>
    <row r="82" spans="1:3">
      <c r="A82" s="1">
        <v>45637</v>
      </c>
      <c r="B82">
        <v>632.67999999999995</v>
      </c>
      <c r="C82">
        <f t="shared" si="1"/>
        <v>2.1342663146651786E-2</v>
      </c>
    </row>
    <row r="83" spans="1:3">
      <c r="A83" s="1">
        <v>45638</v>
      </c>
      <c r="B83">
        <v>630.79</v>
      </c>
      <c r="C83">
        <f t="shared" si="1"/>
        <v>-2.9917630172881403E-3</v>
      </c>
    </row>
    <row r="84" spans="1:3">
      <c r="A84" s="1">
        <v>45639</v>
      </c>
      <c r="B84">
        <v>620.35</v>
      </c>
      <c r="C84">
        <f t="shared" si="1"/>
        <v>-1.6689167189119277E-2</v>
      </c>
    </row>
    <row r="85" spans="1:3">
      <c r="A85" s="1">
        <v>45642</v>
      </c>
      <c r="B85">
        <v>624.24</v>
      </c>
      <c r="C85">
        <f t="shared" si="1"/>
        <v>6.2510749196252853E-3</v>
      </c>
    </row>
    <row r="86" spans="1:3">
      <c r="A86" s="1">
        <v>45643</v>
      </c>
      <c r="B86">
        <v>619.44000000000005</v>
      </c>
      <c r="C86">
        <f t="shared" si="1"/>
        <v>-7.7190657300375979E-3</v>
      </c>
    </row>
    <row r="87" spans="1:3">
      <c r="A87" s="1">
        <v>45644</v>
      </c>
      <c r="B87">
        <v>597.19000000000005</v>
      </c>
      <c r="C87">
        <f t="shared" si="1"/>
        <v>-3.6580523362737878E-2</v>
      </c>
    </row>
    <row r="88" spans="1:3">
      <c r="A88" s="1">
        <v>45645</v>
      </c>
      <c r="B88">
        <v>595.57000000000005</v>
      </c>
      <c r="C88">
        <f t="shared" si="1"/>
        <v>-2.7163905498756545E-3</v>
      </c>
    </row>
    <row r="89" spans="1:3">
      <c r="A89" s="1">
        <v>45646</v>
      </c>
      <c r="B89">
        <v>585.25</v>
      </c>
      <c r="C89">
        <f t="shared" si="1"/>
        <v>-1.7479823794834554E-2</v>
      </c>
    </row>
    <row r="90" spans="1:3">
      <c r="A90" s="1">
        <v>45649</v>
      </c>
      <c r="B90">
        <v>599.85</v>
      </c>
      <c r="C90">
        <f t="shared" si="1"/>
        <v>2.4640517589916939E-2</v>
      </c>
    </row>
    <row r="91" spans="1:3">
      <c r="A91" s="1">
        <v>45650</v>
      </c>
      <c r="B91">
        <v>607.75</v>
      </c>
      <c r="C91">
        <f t="shared" si="1"/>
        <v>1.3083989235295704E-2</v>
      </c>
    </row>
    <row r="92" spans="1:3">
      <c r="A92" s="1">
        <v>45652</v>
      </c>
      <c r="B92">
        <v>603.35</v>
      </c>
      <c r="C92">
        <f t="shared" si="1"/>
        <v>-7.2661536766229192E-3</v>
      </c>
    </row>
    <row r="93" spans="1:3">
      <c r="A93" s="1">
        <v>45653</v>
      </c>
      <c r="B93">
        <v>599.80999999999995</v>
      </c>
      <c r="C93">
        <f t="shared" si="1"/>
        <v>-5.8845211196064517E-3</v>
      </c>
    </row>
    <row r="94" spans="1:3">
      <c r="A94" s="1">
        <v>45656</v>
      </c>
      <c r="B94">
        <v>591.24</v>
      </c>
      <c r="C94">
        <f t="shared" si="1"/>
        <v>-1.439091205613131E-2</v>
      </c>
    </row>
    <row r="95" spans="1:3">
      <c r="A95" s="1">
        <v>45657</v>
      </c>
      <c r="B95">
        <v>585.51</v>
      </c>
      <c r="C95">
        <f t="shared" si="1"/>
        <v>-9.7387640326518816E-3</v>
      </c>
    </row>
    <row r="96" spans="1:3">
      <c r="A96" s="1">
        <v>45659</v>
      </c>
      <c r="B96">
        <v>599.24</v>
      </c>
      <c r="C96">
        <f t="shared" si="1"/>
        <v>2.3178923337960938E-2</v>
      </c>
    </row>
    <row r="97" spans="1:3">
      <c r="A97" s="1">
        <v>45660</v>
      </c>
      <c r="B97">
        <v>604.63</v>
      </c>
      <c r="C97">
        <f t="shared" si="1"/>
        <v>8.9545150483611152E-3</v>
      </c>
    </row>
    <row r="98" spans="1:3">
      <c r="A98" s="1">
        <v>45663</v>
      </c>
      <c r="B98">
        <v>630.20000000000005</v>
      </c>
      <c r="C98">
        <f t="shared" si="1"/>
        <v>4.142052862563185E-2</v>
      </c>
    </row>
    <row r="99" spans="1:3">
      <c r="A99" s="1">
        <v>45664</v>
      </c>
      <c r="B99">
        <v>617.89</v>
      </c>
      <c r="C99">
        <f t="shared" si="1"/>
        <v>-1.9726781235719498E-2</v>
      </c>
    </row>
    <row r="100" spans="1:3">
      <c r="A100" s="1">
        <v>45665</v>
      </c>
      <c r="B100">
        <v>610.72</v>
      </c>
      <c r="C100">
        <f t="shared" si="1"/>
        <v>-1.1671859090535105E-2</v>
      </c>
    </row>
    <row r="101" spans="1:3">
      <c r="A101" s="1">
        <v>45667</v>
      </c>
      <c r="B101">
        <v>615.86</v>
      </c>
      <c r="C101">
        <f t="shared" si="1"/>
        <v>8.3810759789674522E-3</v>
      </c>
    </row>
    <row r="102" spans="1:3">
      <c r="A102" s="1">
        <v>45670</v>
      </c>
      <c r="B102">
        <v>608.33000000000004</v>
      </c>
      <c r="C102">
        <f t="shared" si="1"/>
        <v>-1.2302167094471872E-2</v>
      </c>
    </row>
    <row r="103" spans="1:3">
      <c r="A103" s="1">
        <v>45671</v>
      </c>
      <c r="B103">
        <v>594.25</v>
      </c>
      <c r="C103">
        <f t="shared" si="1"/>
        <v>-2.3417391641111847E-2</v>
      </c>
    </row>
    <row r="104" spans="1:3">
      <c r="A104" s="1">
        <v>45672</v>
      </c>
      <c r="B104">
        <v>617.12</v>
      </c>
      <c r="C104">
        <f t="shared" si="1"/>
        <v>3.7763388219614447E-2</v>
      </c>
    </row>
    <row r="105" spans="1:3">
      <c r="A105" s="1">
        <v>45673</v>
      </c>
      <c r="B105">
        <v>611.29999999999995</v>
      </c>
      <c r="C105">
        <f t="shared" si="1"/>
        <v>-9.4756574252379891E-3</v>
      </c>
    </row>
    <row r="106" spans="1:3">
      <c r="A106" s="1">
        <v>45674</v>
      </c>
      <c r="B106">
        <v>612.77</v>
      </c>
      <c r="C106">
        <f t="shared" si="1"/>
        <v>2.4018245797596477E-3</v>
      </c>
    </row>
    <row r="107" spans="1:3">
      <c r="A107" s="1">
        <v>45678</v>
      </c>
      <c r="B107">
        <v>616.46</v>
      </c>
      <c r="C107">
        <f t="shared" si="1"/>
        <v>6.0037764843569614E-3</v>
      </c>
    </row>
    <row r="108" spans="1:3">
      <c r="A108" s="1">
        <v>45679</v>
      </c>
      <c r="B108">
        <v>623.5</v>
      </c>
      <c r="C108">
        <f t="shared" si="1"/>
        <v>1.1355327021294879E-2</v>
      </c>
    </row>
    <row r="109" spans="1:3">
      <c r="A109" s="1">
        <v>45680</v>
      </c>
      <c r="B109">
        <v>636.45000000000005</v>
      </c>
      <c r="C109">
        <f t="shared" si="1"/>
        <v>2.0557095196352581E-2</v>
      </c>
    </row>
    <row r="110" spans="1:3">
      <c r="A110" s="1">
        <v>45681</v>
      </c>
      <c r="B110">
        <v>647.49</v>
      </c>
      <c r="C110">
        <f t="shared" si="1"/>
        <v>1.7197489122545186E-2</v>
      </c>
    </row>
    <row r="111" spans="1:3">
      <c r="A111" s="1">
        <v>45684</v>
      </c>
      <c r="B111">
        <v>659.88</v>
      </c>
      <c r="C111">
        <f t="shared" si="1"/>
        <v>1.8954650868734872E-2</v>
      </c>
    </row>
    <row r="112" spans="1:3">
      <c r="A112" s="1">
        <v>45685</v>
      </c>
      <c r="B112">
        <v>674.33</v>
      </c>
      <c r="C112">
        <f t="shared" si="1"/>
        <v>2.1661605025962608E-2</v>
      </c>
    </row>
    <row r="113" spans="1:3">
      <c r="A113" s="1">
        <v>45686</v>
      </c>
      <c r="B113">
        <v>676.49</v>
      </c>
      <c r="C113">
        <f t="shared" si="1"/>
        <v>3.1980602019005986E-3</v>
      </c>
    </row>
    <row r="114" spans="1:3">
      <c r="A114" s="1">
        <v>45687</v>
      </c>
      <c r="B114">
        <v>687</v>
      </c>
      <c r="C114">
        <f t="shared" si="1"/>
        <v>1.541662668676246E-2</v>
      </c>
    </row>
    <row r="115" spans="1:3">
      <c r="A115" s="1">
        <v>45688</v>
      </c>
      <c r="B115">
        <v>689.18</v>
      </c>
      <c r="C115">
        <f t="shared" si="1"/>
        <v>3.1681928577205975E-3</v>
      </c>
    </row>
    <row r="116" spans="1:3">
      <c r="A116" s="1">
        <v>45691</v>
      </c>
      <c r="B116">
        <v>697.46</v>
      </c>
      <c r="C116">
        <f t="shared" si="1"/>
        <v>1.194267930075938E-2</v>
      </c>
    </row>
    <row r="117" spans="1:3">
      <c r="A117" s="1">
        <v>45692</v>
      </c>
      <c r="B117">
        <v>704.19</v>
      </c>
      <c r="C117">
        <f t="shared" si="1"/>
        <v>9.6030417280762049E-3</v>
      </c>
    </row>
    <row r="118" spans="1:3">
      <c r="A118" s="1">
        <v>45693</v>
      </c>
      <c r="B118">
        <v>704.87</v>
      </c>
      <c r="C118">
        <f t="shared" si="1"/>
        <v>9.6518253699530454E-4</v>
      </c>
    </row>
    <row r="119" spans="1:3">
      <c r="A119" s="1">
        <v>45694</v>
      </c>
      <c r="B119">
        <v>711.99</v>
      </c>
      <c r="C119">
        <f t="shared" si="1"/>
        <v>1.0050477723623365E-2</v>
      </c>
    </row>
    <row r="120" spans="1:3">
      <c r="A120" s="1">
        <v>45695</v>
      </c>
      <c r="B120">
        <v>714.52</v>
      </c>
      <c r="C120">
        <f t="shared" si="1"/>
        <v>3.5471222111592773E-3</v>
      </c>
    </row>
    <row r="121" spans="1:3">
      <c r="A121" s="1">
        <v>45698</v>
      </c>
      <c r="B121">
        <v>717.4</v>
      </c>
      <c r="C121">
        <f t="shared" si="1"/>
        <v>4.0225765174984511E-3</v>
      </c>
    </row>
    <row r="122" spans="1:3">
      <c r="A122" s="1">
        <v>45699</v>
      </c>
      <c r="B122">
        <v>719.8</v>
      </c>
      <c r="C122">
        <f t="shared" si="1"/>
        <v>3.3398305467480277E-3</v>
      </c>
    </row>
    <row r="123" spans="1:3">
      <c r="A123" s="1">
        <v>45700</v>
      </c>
      <c r="B123">
        <v>725.38</v>
      </c>
      <c r="C123">
        <f t="shared" si="1"/>
        <v>7.7222598284718063E-3</v>
      </c>
    </row>
    <row r="124" spans="1:3">
      <c r="A124" s="1">
        <v>45701</v>
      </c>
      <c r="B124">
        <v>728.56</v>
      </c>
      <c r="C124">
        <f t="shared" si="1"/>
        <v>4.3743277861609106E-3</v>
      </c>
    </row>
    <row r="125" spans="1:3">
      <c r="A125" s="1">
        <v>45702</v>
      </c>
      <c r="B125">
        <v>736.67</v>
      </c>
      <c r="C125">
        <f t="shared" si="1"/>
        <v>1.1070047460766216E-2</v>
      </c>
    </row>
    <row r="126" spans="1:3">
      <c r="A126" s="1">
        <v>45706</v>
      </c>
      <c r="B126">
        <v>716.37</v>
      </c>
      <c r="C126">
        <f t="shared" si="1"/>
        <v>-2.7943237457499853E-2</v>
      </c>
    </row>
    <row r="127" spans="1:3">
      <c r="A127" s="1">
        <v>45707</v>
      </c>
      <c r="B127">
        <v>703.77</v>
      </c>
      <c r="C127">
        <f t="shared" si="1"/>
        <v>-1.7745195029798135E-2</v>
      </c>
    </row>
    <row r="128" spans="1:3">
      <c r="A128" s="1">
        <v>45708</v>
      </c>
      <c r="B128">
        <v>694.84</v>
      </c>
      <c r="C128">
        <f t="shared" si="1"/>
        <v>-1.2769994999308615E-2</v>
      </c>
    </row>
  </sheetData>
  <sortState xmlns:xlrd2="http://schemas.microsoft.com/office/spreadsheetml/2017/richdata2" ref="A2:B128">
    <sortCondition ref="A1:A128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6926a9a-952a-4e29-8e51-9fc4a68a386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C2532E0DF3234FAB02D316D065744C" ma:contentTypeVersion="6" ma:contentTypeDescription="Create a new document." ma:contentTypeScope="" ma:versionID="2e3f764bcdd943ab3e024a76fafc2182">
  <xsd:schema xmlns:xsd="http://www.w3.org/2001/XMLSchema" xmlns:xs="http://www.w3.org/2001/XMLSchema" xmlns:p="http://schemas.microsoft.com/office/2006/metadata/properties" xmlns:ns3="b6926a9a-952a-4e29-8e51-9fc4a68a386f" targetNamespace="http://schemas.microsoft.com/office/2006/metadata/properties" ma:root="true" ma:fieldsID="c8e6434d649cbf67703335b2ded062d2" ns3:_="">
    <xsd:import namespace="b6926a9a-952a-4e29-8e51-9fc4a68a386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926a9a-952a-4e29-8e51-9fc4a68a3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7068D4-86DF-4939-85BE-3B0D97833D6B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b6926a9a-952a-4e29-8e51-9fc4a68a386f"/>
  </ds:schemaRefs>
</ds:datastoreItem>
</file>

<file path=customXml/itemProps2.xml><?xml version="1.0" encoding="utf-8"?>
<ds:datastoreItem xmlns:ds="http://schemas.openxmlformats.org/officeDocument/2006/customXml" ds:itemID="{AF6EC8EA-4777-48D8-9C7D-9E4927DD21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2FABEB-F437-4929-B0EA-26AB7062C5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926a9a-952a-4e29-8e51-9fc4a68a38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apple</vt:lpstr>
      <vt:lpstr>microsoft</vt:lpstr>
      <vt:lpstr>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Paniz Gozini</dc:creator>
  <cp:lastModifiedBy>Microsoft Office User</cp:lastModifiedBy>
  <dcterms:created xsi:type="dcterms:W3CDTF">2025-02-21T15:35:10Z</dcterms:created>
  <dcterms:modified xsi:type="dcterms:W3CDTF">2025-03-12T17:42:53Z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0x01010033C2532E0DF3234FAB02D316D065744C</vt:lpwstr>
  </property>
</Properties>
</file>